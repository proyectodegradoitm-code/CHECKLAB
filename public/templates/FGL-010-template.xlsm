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ctrlProps/ctrlProp2.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626" codeName="{62F9E958-00F4-224C-1CEB-3A4BEE276A53}"/>
  <workbookPr codeName="ThisWorkbook" hidePivotFieldList="1"/>
  <mc:AlternateContent xmlns:mc="http://schemas.openxmlformats.org/markup-compatibility/2006">
    <mc:Choice Requires="x15">
      <x15ac:absPath xmlns:x15ac="http://schemas.microsoft.com/office/spreadsheetml/2010/11/ac" url="C:\Users\jessicagarcia\Downloads\"/>
    </mc:Choice>
  </mc:AlternateContent>
  <xr:revisionPtr revIDLastSave="0" documentId="13_ncr:1_{1B40EE55-083D-49F4-B07D-0608D886D6ED}" xr6:coauthVersionLast="47" xr6:coauthVersionMax="47" xr10:uidLastSave="{00000000-0000-0000-0000-000000000000}"/>
  <bookViews>
    <workbookView xWindow="-120" yWindow="-120" windowWidth="21840" windowHeight="13140" tabRatio="761" xr2:uid="{00000000-000D-0000-FFFF-FFFF00000000}"/>
  </bookViews>
  <sheets>
    <sheet name="Instructivo" sheetId="21" r:id="rId1"/>
    <sheet name="Inventario SQ" sheetId="1" r:id="rId2"/>
    <sheet name="Hoja5" sheetId="20" state="hidden" r:id="rId3"/>
    <sheet name="Hoja4" sheetId="19" state="hidden" r:id="rId4"/>
    <sheet name="Hoja1" sheetId="9" state="hidden" r:id="rId5"/>
    <sheet name="Base de datos" sheetId="5" state="hidden" r:id="rId6"/>
    <sheet name="Hoja2" sheetId="10" state="hidden" r:id="rId7"/>
    <sheet name="Etiqueta PQ" sheetId="13" r:id="rId8"/>
    <sheet name="Etiqueta pequeña" sheetId="24" r:id="rId9"/>
    <sheet name="Sustancias controladas" sheetId="22" r:id="rId10"/>
    <sheet name="Sustancias cancerigenas" sheetId="23" r:id="rId11"/>
    <sheet name="Hoja3" sheetId="15" state="hidden" r:id="rId12"/>
  </sheets>
  <externalReferences>
    <externalReference r:id="rId13"/>
    <externalReference r:id="rId14"/>
  </externalReferences>
  <definedNames>
    <definedName name="_xlnm._FilterDatabase" localSheetId="1" hidden="1">'Inventario SQ'!$A$7:$AM$271</definedName>
    <definedName name="Acepta">'[1]Inventario SQ'!#REF!</definedName>
    <definedName name="_xlnm.Print_Area" localSheetId="8">'Etiqueta pequeña'!$A$1:$I$12</definedName>
    <definedName name="_xlnm.Print_Area" localSheetId="7">'Etiqueta PQ'!$A$1:$V$14</definedName>
    <definedName name="Estado">'[1]Inventario SQ'!#REF!</definedName>
    <definedName name="Frecuencia">'[1]Inventario SQ'!#REF!</definedName>
    <definedName name="Ilustración1" localSheetId="8">OFFSET('Base de datos'!$G$3,MATCH('Etiqueta pequeña'!$A$11,ListaSGA1,0)-1,0,1,1)</definedName>
    <definedName name="Ilustración1" localSheetId="7">OFFSET('Base de datos'!$G$3,MATCH('Etiqueta PQ'!$A$10,ListaSGA1,0)-1,0,1,1)</definedName>
    <definedName name="Ilustración1">OFFSET('Base de datos'!$G$3,MATCH(#REF!,ListaSGA1,0)-1,0,1,1)</definedName>
    <definedName name="Ilustración2" localSheetId="8">OFFSET('Base de datos'!$G$3,MATCH('Etiqueta pequeña'!$A$10,ListaSGA1,0)-1,0,1,1)</definedName>
    <definedName name="Ilustración2" localSheetId="7">OFFSET('Base de datos'!$G$3,MATCH('Etiqueta PQ'!$A$9,ListaSGA1,0)-1,0,1,1)</definedName>
    <definedName name="Ilustración2">OFFSET('Base de datos'!$G$3,MATCH(#REF!,ListaSGA1,0)-1,0,1,1)</definedName>
    <definedName name="Ilustración3" localSheetId="8">OFFSET('Base de datos'!$O$3,MATCH('Etiqueta pequeña'!$A$12,ListaSGA3,0)-1,0,1,1)</definedName>
    <definedName name="Ilustración3" localSheetId="7">OFFSET('Base de datos'!$O$3,MATCH('Etiqueta PQ'!$A$11,ListaSGA3,0)-1,0,1,1)</definedName>
    <definedName name="Ilustración3">OFFSET('Base de datos'!$O$3,MATCH(#REF!,ListaSGA3,0)-1,0,1,1)</definedName>
    <definedName name="Ilustración4" localSheetId="8">OFFSET('Base de datos'!$K$3,MATCH('Etiqueta pequeña'!#REF!,ListaSGA2,0)-1,0,1,1)</definedName>
    <definedName name="Ilustración4" localSheetId="7">OFFSET('Base de datos'!$K$3,MATCH('Etiqueta PQ'!$A$12,ListaSGA2,0)-1,0,1,1)</definedName>
    <definedName name="Ilustración4">OFFSET('Base de datos'!$K$3,MATCH(#REF!,ListaSGA2,0)-1,0,1,1)</definedName>
    <definedName name="Ilustración5" localSheetId="8">OFFSET('Base de datos'!$K$3,MATCH('Etiqueta pequeña'!#REF!,ListaSGA2,0)-1,0,1,1)</definedName>
    <definedName name="Ilustración5" localSheetId="7">OFFSET('Base de datos'!$K$3,MATCH('Etiqueta PQ'!$A$13,ListaSGA2,0)-1,0,1,1)</definedName>
    <definedName name="Ilustración5">OFFSET('Base de datos'!$K$3,MATCH(#REF!,ListaSGA2,0)-1,0,1,1)</definedName>
    <definedName name="Imagen1" localSheetId="8">OFFSET('Base de datos'!$B$3,MATCH('Etiqueta pequeña'!#REF!,[0]!Lista,0)-1,0,1,1)</definedName>
    <definedName name="Imagen1" localSheetId="7">OFFSET('Base de datos'!$B$3,MATCH('Etiqueta PQ'!$S$5,[0]!Lista,0)-1,0,1,1)</definedName>
    <definedName name="Imagen1">OFFSET('Base de datos'!$B$3,MATCH(#REF!,Lista,0)-1,0,1,1)</definedName>
    <definedName name="Imagen2" localSheetId="8">OFFSET('Base de datos'!$B$3,MATCH('Etiqueta pequeña'!#REF!,[0]!Lista,0)-1,0,1,1)</definedName>
    <definedName name="Imagen2" localSheetId="7">OFFSET('Base de datos'!$B$3,MATCH('Etiqueta PQ'!$S$6,[0]!Lista,0)-1,0,1,1)</definedName>
    <definedName name="Imagen2">OFFSET('Base de datos'!$B$3,MATCH(#REF!,Lista,0)-1,0,1,1)</definedName>
    <definedName name="Imagen3" localSheetId="8">OFFSET('Base de datos'!$B$3,MATCH('Etiqueta pequeña'!#REF!,[0]!Lista,0)-1,0,1,1)</definedName>
    <definedName name="Imagen3" localSheetId="7">OFFSET('Base de datos'!$B$3,MATCH('Etiqueta PQ'!$S$7,[0]!Lista,0)-1,0,1,1)</definedName>
    <definedName name="Imagen3">OFFSET('Base de datos'!$B$3,MATCH(#REF!,Lista,0)-1,0,1,1)</definedName>
    <definedName name="Lista">'Base de datos'!$A$3:$A$18</definedName>
    <definedName name="ListaSGA1">OFFSET('Base de datos'!$F$3,0,0,COUNTA('Base de datos'!$F:$F)-1,1)</definedName>
    <definedName name="ListaSGA2">OFFSET('Base de datos'!$J$3,0,0,COUNTA('Base de datos'!$J:$J)-1,1)</definedName>
    <definedName name="ListaSGA3">OFFSET('Base de datos'!$N$3,0,0,COUNTA('Base de datos'!$N:$N)-1,1)</definedName>
    <definedName name="nombre">#REF!</definedName>
    <definedName name="Peligro">'[1]Inventario SQ'!#REF!</definedName>
    <definedName name="presentacion">'[1]Inventario SQ'!#REF!</definedName>
    <definedName name="producto">'[2]T EMERGENCIA'!$A$10:$A$64</definedName>
    <definedName name="unidad">'[1]Inventario SQ'!#REF!</definedName>
    <definedName name="UnidMedida">OFFSET('Base de datos'!$P$2,0,0,COUNTA('Base de datos'!$P:$P)-1,1)</definedName>
    <definedName name="Uso">'[1]Inventario SQ'!#REF!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9" i="1" l="1"/>
  <c r="AN10" i="1"/>
  <c r="AN11" i="1"/>
  <c r="AN12" i="1"/>
  <c r="AO12" i="1" s="1"/>
  <c r="AP12" i="1" s="1"/>
  <c r="AN13" i="1"/>
  <c r="AN14" i="1"/>
  <c r="AN15" i="1"/>
  <c r="AN16" i="1"/>
  <c r="AN17" i="1"/>
  <c r="AN18" i="1"/>
  <c r="AN19" i="1"/>
  <c r="AN20" i="1"/>
  <c r="AN21" i="1"/>
  <c r="AN22" i="1"/>
  <c r="AN23" i="1"/>
  <c r="AN24" i="1"/>
  <c r="AN25" i="1"/>
  <c r="AN26" i="1"/>
  <c r="AN27" i="1"/>
  <c r="AN28" i="1"/>
  <c r="AN29" i="1"/>
  <c r="AN30" i="1"/>
  <c r="AN31" i="1"/>
  <c r="AN32" i="1"/>
  <c r="AN33" i="1"/>
  <c r="AN34" i="1"/>
  <c r="AN35" i="1"/>
  <c r="AN36" i="1"/>
  <c r="AN37" i="1"/>
  <c r="AN38" i="1"/>
  <c r="AN39" i="1"/>
  <c r="AN40" i="1"/>
  <c r="AN41" i="1"/>
  <c r="AN42" i="1"/>
  <c r="AN43" i="1"/>
  <c r="AN44" i="1"/>
  <c r="AN45" i="1"/>
  <c r="AN46" i="1"/>
  <c r="AN47" i="1"/>
  <c r="AN48" i="1"/>
  <c r="AN49" i="1"/>
  <c r="AN50" i="1"/>
  <c r="AN51" i="1"/>
  <c r="AN52" i="1"/>
  <c r="AN53" i="1"/>
  <c r="AN54" i="1"/>
  <c r="AN55" i="1"/>
  <c r="AN56" i="1"/>
  <c r="AN57" i="1"/>
  <c r="AN58" i="1"/>
  <c r="AN59" i="1"/>
  <c r="AN60" i="1"/>
  <c r="AN61" i="1"/>
  <c r="AN62" i="1"/>
  <c r="AN63" i="1"/>
  <c r="AN64" i="1"/>
  <c r="AN65" i="1"/>
  <c r="AN66" i="1"/>
  <c r="AN67" i="1"/>
  <c r="AN68" i="1"/>
  <c r="AN69" i="1"/>
  <c r="AN70" i="1"/>
  <c r="AN71" i="1"/>
  <c r="AN72" i="1"/>
  <c r="AN73" i="1"/>
  <c r="AN74" i="1"/>
  <c r="AN75" i="1"/>
  <c r="AN76" i="1"/>
  <c r="AN77" i="1"/>
  <c r="AN78" i="1"/>
  <c r="AN79" i="1"/>
  <c r="AN80" i="1"/>
  <c r="AN81" i="1"/>
  <c r="AN82" i="1"/>
  <c r="AN83" i="1"/>
  <c r="AN84" i="1"/>
  <c r="AN85" i="1"/>
  <c r="AN86" i="1"/>
  <c r="AN87" i="1"/>
  <c r="AN88" i="1"/>
  <c r="AN89" i="1"/>
  <c r="AN90" i="1"/>
  <c r="AN91" i="1"/>
  <c r="AN92" i="1"/>
  <c r="AN93" i="1"/>
  <c r="AN94" i="1"/>
  <c r="AN95" i="1"/>
  <c r="AN96" i="1"/>
  <c r="AN97" i="1"/>
  <c r="AN98" i="1"/>
  <c r="AN99" i="1"/>
  <c r="AN100" i="1"/>
  <c r="AN101" i="1"/>
  <c r="AN102" i="1"/>
  <c r="AN103" i="1"/>
  <c r="AN104" i="1"/>
  <c r="AN105" i="1"/>
  <c r="AN106" i="1"/>
  <c r="AN107" i="1"/>
  <c r="AN108" i="1"/>
  <c r="AN109" i="1"/>
  <c r="AN110" i="1"/>
  <c r="AN111" i="1"/>
  <c r="AN112" i="1"/>
  <c r="AN113" i="1"/>
  <c r="AN114" i="1"/>
  <c r="AN115" i="1"/>
  <c r="AN116" i="1"/>
  <c r="AN117" i="1"/>
  <c r="AN118" i="1"/>
  <c r="AN119" i="1"/>
  <c r="AN120" i="1"/>
  <c r="AN121" i="1"/>
  <c r="AN122" i="1"/>
  <c r="AN123" i="1"/>
  <c r="AN124" i="1"/>
  <c r="AN125" i="1"/>
  <c r="AN126" i="1"/>
  <c r="AN127" i="1"/>
  <c r="AN128" i="1"/>
  <c r="AN129" i="1"/>
  <c r="AN130" i="1"/>
  <c r="AN131" i="1"/>
  <c r="AN132" i="1"/>
  <c r="AN133" i="1"/>
  <c r="AN134" i="1"/>
  <c r="AN135" i="1"/>
  <c r="AN136" i="1"/>
  <c r="AN137" i="1"/>
  <c r="AN138" i="1"/>
  <c r="AN139" i="1"/>
  <c r="AN140" i="1"/>
  <c r="AN141" i="1"/>
  <c r="AN142" i="1"/>
  <c r="AN143" i="1"/>
  <c r="AN144" i="1"/>
  <c r="AN145" i="1"/>
  <c r="AN146" i="1"/>
  <c r="AN147" i="1"/>
  <c r="AN148" i="1"/>
  <c r="AN149" i="1"/>
  <c r="AN150" i="1"/>
  <c r="AN151" i="1"/>
  <c r="AN152" i="1"/>
  <c r="AN153" i="1"/>
  <c r="AN154" i="1"/>
  <c r="AN155" i="1"/>
  <c r="AN156" i="1"/>
  <c r="AN157" i="1"/>
  <c r="AN158" i="1"/>
  <c r="AN159" i="1"/>
  <c r="AN160" i="1"/>
  <c r="AN161" i="1"/>
  <c r="AN162" i="1"/>
  <c r="AN163" i="1"/>
  <c r="AN164" i="1"/>
  <c r="AN165" i="1"/>
  <c r="AN166" i="1"/>
  <c r="AN167" i="1"/>
  <c r="AN168" i="1"/>
  <c r="AN169" i="1"/>
  <c r="AN170" i="1"/>
  <c r="AN171" i="1"/>
  <c r="AN172" i="1"/>
  <c r="AN173" i="1"/>
  <c r="AN174" i="1"/>
  <c r="AN175" i="1"/>
  <c r="AN176" i="1"/>
  <c r="AN177" i="1"/>
  <c r="AN178" i="1"/>
  <c r="AN179" i="1"/>
  <c r="AN180" i="1"/>
  <c r="AN181" i="1"/>
  <c r="AN182" i="1"/>
  <c r="AN183" i="1"/>
  <c r="AN184" i="1"/>
  <c r="AN185" i="1"/>
  <c r="AN186" i="1"/>
  <c r="AN187" i="1"/>
  <c r="AN188" i="1"/>
  <c r="AN189" i="1"/>
  <c r="AN190" i="1"/>
  <c r="AN191" i="1"/>
  <c r="AN192" i="1"/>
  <c r="AN193" i="1"/>
  <c r="AN194" i="1"/>
  <c r="AN195" i="1"/>
  <c r="AN196" i="1"/>
  <c r="AN197" i="1"/>
  <c r="AN198" i="1"/>
  <c r="AN199" i="1"/>
  <c r="AN200" i="1"/>
  <c r="AN201" i="1"/>
  <c r="AN202" i="1"/>
  <c r="AN203" i="1"/>
  <c r="AN204" i="1"/>
  <c r="AN205" i="1"/>
  <c r="AN206" i="1"/>
  <c r="AN207" i="1"/>
  <c r="AN208" i="1"/>
  <c r="AN209" i="1"/>
  <c r="AN210" i="1"/>
  <c r="AN211" i="1"/>
  <c r="AN212" i="1"/>
  <c r="AN213" i="1"/>
  <c r="AN214" i="1"/>
  <c r="AN215" i="1"/>
  <c r="AN216" i="1"/>
  <c r="AN217" i="1"/>
  <c r="AN218" i="1"/>
  <c r="AN219" i="1"/>
  <c r="AN220" i="1"/>
  <c r="AN221" i="1"/>
  <c r="AN222" i="1"/>
  <c r="AN223" i="1"/>
  <c r="AN224" i="1"/>
  <c r="AN225" i="1"/>
  <c r="AN226" i="1"/>
  <c r="AN227" i="1"/>
  <c r="AN228" i="1"/>
  <c r="AN229" i="1"/>
  <c r="AN230" i="1"/>
  <c r="AN231" i="1"/>
  <c r="AN232" i="1"/>
  <c r="AN233" i="1"/>
  <c r="AN234" i="1"/>
  <c r="AN235" i="1"/>
  <c r="AN236" i="1"/>
  <c r="AN237" i="1"/>
  <c r="AN238" i="1"/>
  <c r="AN239" i="1"/>
  <c r="AN240" i="1"/>
  <c r="AN241" i="1"/>
  <c r="AN242" i="1"/>
  <c r="AN243" i="1"/>
  <c r="AN244" i="1"/>
  <c r="AN245" i="1"/>
  <c r="AN246" i="1"/>
  <c r="AN247" i="1"/>
  <c r="AN248" i="1"/>
  <c r="AN249" i="1"/>
  <c r="AN250" i="1"/>
  <c r="AN251" i="1"/>
  <c r="AN252" i="1"/>
  <c r="AN253" i="1"/>
  <c r="AN254" i="1"/>
  <c r="AN255" i="1"/>
  <c r="AN256" i="1"/>
  <c r="AN257" i="1"/>
  <c r="AN258" i="1"/>
  <c r="AN259" i="1"/>
  <c r="AN260" i="1"/>
  <c r="AN261" i="1"/>
  <c r="AN262" i="1"/>
  <c r="AN263" i="1"/>
  <c r="AN264" i="1"/>
  <c r="AN265" i="1"/>
  <c r="AN266" i="1"/>
  <c r="AN267" i="1"/>
  <c r="AN268" i="1"/>
  <c r="AN269" i="1"/>
  <c r="AN270" i="1"/>
  <c r="AN271" i="1"/>
  <c r="AN272" i="1"/>
  <c r="AN273" i="1"/>
  <c r="AN274" i="1"/>
  <c r="AN275" i="1"/>
  <c r="AN276" i="1"/>
  <c r="AN277" i="1"/>
  <c r="AN8" i="1"/>
  <c r="I16" i="13"/>
  <c r="G16" i="13"/>
  <c r="A3" i="24" a="1"/>
  <c r="A3" i="24" s="1"/>
  <c r="M16" i="13"/>
  <c r="K16" i="13"/>
  <c r="E2" i="22"/>
  <c r="E3" i="22"/>
  <c r="E1" i="22"/>
  <c r="F2" i="23"/>
  <c r="AM2" i="1"/>
  <c r="AM3" i="1"/>
  <c r="AM1" i="1"/>
  <c r="AO9" i="1"/>
  <c r="AP9" i="1" s="1"/>
  <c r="AO10" i="1"/>
  <c r="AP10" i="1" s="1"/>
  <c r="AO11" i="1"/>
  <c r="AP11" i="1" s="1"/>
  <c r="AO13" i="1"/>
  <c r="AP13" i="1" s="1"/>
  <c r="AO14" i="1"/>
  <c r="AP14" i="1" s="1"/>
  <c r="AO15" i="1"/>
  <c r="AP15" i="1" s="1"/>
  <c r="AO16" i="1"/>
  <c r="AP16" i="1" s="1"/>
  <c r="AO17" i="1"/>
  <c r="AP17" i="1" s="1"/>
  <c r="AO18" i="1"/>
  <c r="AP18" i="1" s="1"/>
  <c r="AO19" i="1"/>
  <c r="AP19" i="1" s="1"/>
  <c r="AO20" i="1"/>
  <c r="AP20" i="1" s="1"/>
  <c r="AO21" i="1"/>
  <c r="AP21" i="1" s="1"/>
  <c r="AO22" i="1"/>
  <c r="AP22" i="1" s="1"/>
  <c r="AO23" i="1"/>
  <c r="AP23" i="1" s="1"/>
  <c r="AO24" i="1"/>
  <c r="AP24" i="1" s="1"/>
  <c r="AO25" i="1"/>
  <c r="AP25" i="1" s="1"/>
  <c r="AO26" i="1"/>
  <c r="AP26" i="1" s="1"/>
  <c r="AO27" i="1"/>
  <c r="AP27" i="1" s="1"/>
  <c r="AO28" i="1"/>
  <c r="AP28" i="1" s="1"/>
  <c r="AO29" i="1"/>
  <c r="AP29" i="1" s="1"/>
  <c r="AO30" i="1"/>
  <c r="AP30" i="1" s="1"/>
  <c r="AO31" i="1"/>
  <c r="AP31" i="1" s="1"/>
  <c r="AO32" i="1"/>
  <c r="AP32" i="1" s="1"/>
  <c r="AO33" i="1"/>
  <c r="AP33" i="1" s="1"/>
  <c r="AO34" i="1"/>
  <c r="AP34" i="1" s="1"/>
  <c r="AO35" i="1"/>
  <c r="AP35" i="1" s="1"/>
  <c r="AO36" i="1"/>
  <c r="AP36" i="1" s="1"/>
  <c r="AO37" i="1"/>
  <c r="AP37" i="1" s="1"/>
  <c r="AO38" i="1"/>
  <c r="AP38" i="1" s="1"/>
  <c r="AO39" i="1"/>
  <c r="AP39" i="1" s="1"/>
  <c r="AO40" i="1"/>
  <c r="AP40" i="1" s="1"/>
  <c r="AO41" i="1"/>
  <c r="AP41" i="1" s="1"/>
  <c r="AO42" i="1"/>
  <c r="AP42" i="1" s="1"/>
  <c r="AO43" i="1"/>
  <c r="AP43" i="1" s="1"/>
  <c r="AO44" i="1"/>
  <c r="AP44" i="1" s="1"/>
  <c r="AO45" i="1"/>
  <c r="AP45" i="1" s="1"/>
  <c r="AO46" i="1"/>
  <c r="AP46" i="1" s="1"/>
  <c r="AO47" i="1"/>
  <c r="AP47" i="1" s="1"/>
  <c r="AO48" i="1"/>
  <c r="AP48" i="1" s="1"/>
  <c r="AO49" i="1"/>
  <c r="AP49" i="1" s="1"/>
  <c r="AO50" i="1"/>
  <c r="AP50" i="1" s="1"/>
  <c r="AO51" i="1"/>
  <c r="AP51" i="1" s="1"/>
  <c r="AO52" i="1"/>
  <c r="AP52" i="1" s="1"/>
  <c r="AO53" i="1"/>
  <c r="AP53" i="1" s="1"/>
  <c r="AO54" i="1"/>
  <c r="AP54" i="1" s="1"/>
  <c r="AO55" i="1"/>
  <c r="AP55" i="1" s="1"/>
  <c r="AO56" i="1"/>
  <c r="AP56" i="1" s="1"/>
  <c r="AO57" i="1"/>
  <c r="AP57" i="1" s="1"/>
  <c r="AO58" i="1"/>
  <c r="AP58" i="1" s="1"/>
  <c r="AO59" i="1"/>
  <c r="AP59" i="1" s="1"/>
  <c r="AO60" i="1"/>
  <c r="AP60" i="1" s="1"/>
  <c r="AO61" i="1"/>
  <c r="AP61" i="1" s="1"/>
  <c r="AO62" i="1"/>
  <c r="AP62" i="1" s="1"/>
  <c r="AO63" i="1"/>
  <c r="AP63" i="1" s="1"/>
  <c r="AO64" i="1"/>
  <c r="AP64" i="1" s="1"/>
  <c r="AO65" i="1"/>
  <c r="AP65" i="1" s="1"/>
  <c r="AO66" i="1"/>
  <c r="AP66" i="1" s="1"/>
  <c r="AO67" i="1"/>
  <c r="AP67" i="1" s="1"/>
  <c r="AO68" i="1"/>
  <c r="AP68" i="1" s="1"/>
  <c r="AO69" i="1"/>
  <c r="AP69" i="1" s="1"/>
  <c r="AO70" i="1"/>
  <c r="AP70" i="1" s="1"/>
  <c r="AO71" i="1"/>
  <c r="AP71" i="1" s="1"/>
  <c r="AO72" i="1"/>
  <c r="AP72" i="1" s="1"/>
  <c r="AO73" i="1"/>
  <c r="AP73" i="1" s="1"/>
  <c r="AO74" i="1"/>
  <c r="AP74" i="1" s="1"/>
  <c r="AO75" i="1"/>
  <c r="AP75" i="1" s="1"/>
  <c r="AO76" i="1"/>
  <c r="AP76" i="1" s="1"/>
  <c r="AO77" i="1"/>
  <c r="AP77" i="1" s="1"/>
  <c r="AO78" i="1"/>
  <c r="AP78" i="1" s="1"/>
  <c r="AO79" i="1"/>
  <c r="AP79" i="1" s="1"/>
  <c r="AO80" i="1"/>
  <c r="AP80" i="1" s="1"/>
  <c r="AO81" i="1"/>
  <c r="AP81" i="1" s="1"/>
  <c r="AO82" i="1"/>
  <c r="AP82" i="1" s="1"/>
  <c r="AO83" i="1"/>
  <c r="AP83" i="1" s="1"/>
  <c r="AO84" i="1"/>
  <c r="AP84" i="1" s="1"/>
  <c r="AO85" i="1"/>
  <c r="AP85" i="1" s="1"/>
  <c r="AO86" i="1"/>
  <c r="AP86" i="1" s="1"/>
  <c r="AO87" i="1"/>
  <c r="AP87" i="1" s="1"/>
  <c r="AO88" i="1"/>
  <c r="AP88" i="1" s="1"/>
  <c r="AO89" i="1"/>
  <c r="AP89" i="1" s="1"/>
  <c r="AO90" i="1"/>
  <c r="AP90" i="1" s="1"/>
  <c r="AO91" i="1"/>
  <c r="AP91" i="1" s="1"/>
  <c r="AO92" i="1"/>
  <c r="AP92" i="1" s="1"/>
  <c r="AO93" i="1"/>
  <c r="AP93" i="1" s="1"/>
  <c r="AO94" i="1"/>
  <c r="AP94" i="1" s="1"/>
  <c r="AO95" i="1"/>
  <c r="AP95" i="1" s="1"/>
  <c r="AO96" i="1"/>
  <c r="AP96" i="1" s="1"/>
  <c r="AO97" i="1"/>
  <c r="AP97" i="1" s="1"/>
  <c r="AO98" i="1"/>
  <c r="AP98" i="1" s="1"/>
  <c r="AO99" i="1"/>
  <c r="AP99" i="1" s="1"/>
  <c r="AO100" i="1"/>
  <c r="AP100" i="1" s="1"/>
  <c r="AO101" i="1"/>
  <c r="AP101" i="1" s="1"/>
  <c r="AO102" i="1"/>
  <c r="AP102" i="1" s="1"/>
  <c r="AO103" i="1"/>
  <c r="AP103" i="1" s="1"/>
  <c r="AO104" i="1"/>
  <c r="AP104" i="1" s="1"/>
  <c r="AO105" i="1"/>
  <c r="AP105" i="1" s="1"/>
  <c r="AO106" i="1"/>
  <c r="AP106" i="1" s="1"/>
  <c r="AO107" i="1"/>
  <c r="AP107" i="1" s="1"/>
  <c r="AO108" i="1"/>
  <c r="AP108" i="1" s="1"/>
  <c r="AO109" i="1"/>
  <c r="AP109" i="1" s="1"/>
  <c r="AO110" i="1"/>
  <c r="AP110" i="1" s="1"/>
  <c r="AO111" i="1"/>
  <c r="AP111" i="1" s="1"/>
  <c r="AO112" i="1"/>
  <c r="AP112" i="1" s="1"/>
  <c r="AO113" i="1"/>
  <c r="AP113" i="1" s="1"/>
  <c r="AO114" i="1"/>
  <c r="AP114" i="1" s="1"/>
  <c r="AO115" i="1"/>
  <c r="AP115" i="1" s="1"/>
  <c r="AO116" i="1"/>
  <c r="AP116" i="1" s="1"/>
  <c r="AO117" i="1"/>
  <c r="AP117" i="1" s="1"/>
  <c r="AO118" i="1"/>
  <c r="AP118" i="1" s="1"/>
  <c r="AO119" i="1"/>
  <c r="AP119" i="1" s="1"/>
  <c r="AO120" i="1"/>
  <c r="AP120" i="1" s="1"/>
  <c r="AO121" i="1"/>
  <c r="AP121" i="1" s="1"/>
  <c r="AO122" i="1"/>
  <c r="AP122" i="1" s="1"/>
  <c r="AO123" i="1"/>
  <c r="AP123" i="1" s="1"/>
  <c r="AO124" i="1"/>
  <c r="AP124" i="1" s="1"/>
  <c r="AO125" i="1"/>
  <c r="AP125" i="1" s="1"/>
  <c r="AO126" i="1"/>
  <c r="AP126" i="1" s="1"/>
  <c r="AO127" i="1"/>
  <c r="AP127" i="1" s="1"/>
  <c r="AO128" i="1"/>
  <c r="AP128" i="1" s="1"/>
  <c r="AO129" i="1"/>
  <c r="AP129" i="1" s="1"/>
  <c r="AO130" i="1"/>
  <c r="AP130" i="1" s="1"/>
  <c r="AO131" i="1"/>
  <c r="AP131" i="1" s="1"/>
  <c r="AO132" i="1"/>
  <c r="AP132" i="1" s="1"/>
  <c r="AO133" i="1"/>
  <c r="AP133" i="1" s="1"/>
  <c r="AO134" i="1"/>
  <c r="AP134" i="1" s="1"/>
  <c r="AO135" i="1"/>
  <c r="AP135" i="1" s="1"/>
  <c r="AO136" i="1"/>
  <c r="AP136" i="1" s="1"/>
  <c r="AO137" i="1"/>
  <c r="AP137" i="1" s="1"/>
  <c r="AO138" i="1"/>
  <c r="AP138" i="1" s="1"/>
  <c r="AO139" i="1"/>
  <c r="AP139" i="1" s="1"/>
  <c r="AO140" i="1"/>
  <c r="AP140" i="1" s="1"/>
  <c r="AO141" i="1"/>
  <c r="AP141" i="1" s="1"/>
  <c r="AO142" i="1"/>
  <c r="AP142" i="1" s="1"/>
  <c r="AO143" i="1"/>
  <c r="AP143" i="1" s="1"/>
  <c r="AO144" i="1"/>
  <c r="AP144" i="1" s="1"/>
  <c r="AO145" i="1"/>
  <c r="AP145" i="1" s="1"/>
  <c r="AO146" i="1"/>
  <c r="AP146" i="1" s="1"/>
  <c r="AO147" i="1"/>
  <c r="AP147" i="1" s="1"/>
  <c r="AO148" i="1"/>
  <c r="AP148" i="1" s="1"/>
  <c r="AO149" i="1"/>
  <c r="AP149" i="1" s="1"/>
  <c r="AO150" i="1"/>
  <c r="AP150" i="1" s="1"/>
  <c r="AO151" i="1"/>
  <c r="AP151" i="1" s="1"/>
  <c r="AO152" i="1"/>
  <c r="AP152" i="1" s="1"/>
  <c r="AO153" i="1"/>
  <c r="AP153" i="1" s="1"/>
  <c r="AO154" i="1"/>
  <c r="AP154" i="1" s="1"/>
  <c r="AO155" i="1"/>
  <c r="AP155" i="1" s="1"/>
  <c r="AO156" i="1"/>
  <c r="AP156" i="1" s="1"/>
  <c r="AO157" i="1"/>
  <c r="AP157" i="1" s="1"/>
  <c r="AO158" i="1"/>
  <c r="AP158" i="1" s="1"/>
  <c r="AO159" i="1"/>
  <c r="AP159" i="1" s="1"/>
  <c r="AO160" i="1"/>
  <c r="AP160" i="1" s="1"/>
  <c r="AO161" i="1"/>
  <c r="AP161" i="1" s="1"/>
  <c r="AO162" i="1"/>
  <c r="AP162" i="1" s="1"/>
  <c r="AO163" i="1"/>
  <c r="AP163" i="1" s="1"/>
  <c r="AO164" i="1"/>
  <c r="AP164" i="1" s="1"/>
  <c r="AO165" i="1"/>
  <c r="AP165" i="1" s="1"/>
  <c r="AO166" i="1"/>
  <c r="AP166" i="1" s="1"/>
  <c r="AO167" i="1"/>
  <c r="AP167" i="1" s="1"/>
  <c r="AO168" i="1"/>
  <c r="AP168" i="1" s="1"/>
  <c r="AO169" i="1"/>
  <c r="AP169" i="1" s="1"/>
  <c r="AO170" i="1"/>
  <c r="AP170" i="1" s="1"/>
  <c r="AO171" i="1"/>
  <c r="AP171" i="1" s="1"/>
  <c r="AO172" i="1"/>
  <c r="AP172" i="1" s="1"/>
  <c r="AO173" i="1"/>
  <c r="AP173" i="1" s="1"/>
  <c r="AO174" i="1"/>
  <c r="AP174" i="1" s="1"/>
  <c r="AO175" i="1"/>
  <c r="AP175" i="1" s="1"/>
  <c r="AO176" i="1"/>
  <c r="AP176" i="1" s="1"/>
  <c r="AO177" i="1"/>
  <c r="AP177" i="1" s="1"/>
  <c r="AO178" i="1"/>
  <c r="AP178" i="1" s="1"/>
  <c r="AO179" i="1"/>
  <c r="AP179" i="1" s="1"/>
  <c r="AO180" i="1"/>
  <c r="AP180" i="1" s="1"/>
  <c r="AO181" i="1"/>
  <c r="AP181" i="1" s="1"/>
  <c r="AO182" i="1"/>
  <c r="AP182" i="1" s="1"/>
  <c r="AO183" i="1"/>
  <c r="AP183" i="1" s="1"/>
  <c r="AO184" i="1"/>
  <c r="AP184" i="1" s="1"/>
  <c r="AO185" i="1"/>
  <c r="AP185" i="1" s="1"/>
  <c r="AO186" i="1"/>
  <c r="AP186" i="1" s="1"/>
  <c r="AO187" i="1"/>
  <c r="AP187" i="1" s="1"/>
  <c r="AO188" i="1"/>
  <c r="AP188" i="1" s="1"/>
  <c r="AO189" i="1"/>
  <c r="AP189" i="1" s="1"/>
  <c r="AO190" i="1"/>
  <c r="AP190" i="1" s="1"/>
  <c r="AO191" i="1"/>
  <c r="AP191" i="1" s="1"/>
  <c r="AO192" i="1"/>
  <c r="AP192" i="1" s="1"/>
  <c r="AO193" i="1"/>
  <c r="AP193" i="1" s="1"/>
  <c r="AO194" i="1"/>
  <c r="AP194" i="1" s="1"/>
  <c r="AO195" i="1"/>
  <c r="AP195" i="1" s="1"/>
  <c r="AO196" i="1"/>
  <c r="AP196" i="1" s="1"/>
  <c r="AO197" i="1"/>
  <c r="AP197" i="1" s="1"/>
  <c r="AO198" i="1"/>
  <c r="AP198" i="1" s="1"/>
  <c r="AO199" i="1"/>
  <c r="AP199" i="1" s="1"/>
  <c r="AO200" i="1"/>
  <c r="AP200" i="1" s="1"/>
  <c r="AO201" i="1"/>
  <c r="AP201" i="1" s="1"/>
  <c r="AO202" i="1"/>
  <c r="AP202" i="1" s="1"/>
  <c r="AO203" i="1"/>
  <c r="AP203" i="1" s="1"/>
  <c r="AO204" i="1"/>
  <c r="AP204" i="1" s="1"/>
  <c r="AO205" i="1"/>
  <c r="AP205" i="1" s="1"/>
  <c r="AO206" i="1"/>
  <c r="AP206" i="1" s="1"/>
  <c r="AO207" i="1"/>
  <c r="AP207" i="1" s="1"/>
  <c r="AO208" i="1"/>
  <c r="AP208" i="1" s="1"/>
  <c r="AO209" i="1"/>
  <c r="AP209" i="1" s="1"/>
  <c r="AO210" i="1"/>
  <c r="AP210" i="1" s="1"/>
  <c r="AO211" i="1"/>
  <c r="AP211" i="1" s="1"/>
  <c r="AO212" i="1"/>
  <c r="AP212" i="1" s="1"/>
  <c r="AO213" i="1"/>
  <c r="AP213" i="1" s="1"/>
  <c r="AO214" i="1"/>
  <c r="AP214" i="1" s="1"/>
  <c r="AO215" i="1"/>
  <c r="AP215" i="1" s="1"/>
  <c r="AO216" i="1"/>
  <c r="AP216" i="1" s="1"/>
  <c r="AO217" i="1"/>
  <c r="AP217" i="1" s="1"/>
  <c r="AO218" i="1"/>
  <c r="AP218" i="1" s="1"/>
  <c r="AO219" i="1"/>
  <c r="AP219" i="1" s="1"/>
  <c r="AO220" i="1"/>
  <c r="AP220" i="1" s="1"/>
  <c r="AO221" i="1"/>
  <c r="AP221" i="1" s="1"/>
  <c r="AO222" i="1"/>
  <c r="AP222" i="1" s="1"/>
  <c r="AO223" i="1"/>
  <c r="AP223" i="1" s="1"/>
  <c r="AO224" i="1"/>
  <c r="AP224" i="1" s="1"/>
  <c r="AO225" i="1"/>
  <c r="AP225" i="1" s="1"/>
  <c r="AO226" i="1"/>
  <c r="AP226" i="1" s="1"/>
  <c r="AO227" i="1"/>
  <c r="AP227" i="1" s="1"/>
  <c r="AO228" i="1"/>
  <c r="AP228" i="1" s="1"/>
  <c r="AO229" i="1"/>
  <c r="AP229" i="1" s="1"/>
  <c r="AO230" i="1"/>
  <c r="AP230" i="1" s="1"/>
  <c r="AO231" i="1"/>
  <c r="AP231" i="1" s="1"/>
  <c r="AO232" i="1"/>
  <c r="AP232" i="1" s="1"/>
  <c r="AO233" i="1"/>
  <c r="AP233" i="1" s="1"/>
  <c r="AO234" i="1"/>
  <c r="AP234" i="1" s="1"/>
  <c r="AO235" i="1"/>
  <c r="AP235" i="1" s="1"/>
  <c r="AO236" i="1"/>
  <c r="AP236" i="1" s="1"/>
  <c r="AO237" i="1"/>
  <c r="AP237" i="1" s="1"/>
  <c r="AO238" i="1"/>
  <c r="AP238" i="1" s="1"/>
  <c r="AO239" i="1"/>
  <c r="AP239" i="1" s="1"/>
  <c r="AO240" i="1"/>
  <c r="AP240" i="1" s="1"/>
  <c r="AO241" i="1"/>
  <c r="AP241" i="1" s="1"/>
  <c r="AO242" i="1"/>
  <c r="AP242" i="1" s="1"/>
  <c r="AO243" i="1"/>
  <c r="AP243" i="1" s="1"/>
  <c r="AO244" i="1"/>
  <c r="AP244" i="1" s="1"/>
  <c r="AO245" i="1"/>
  <c r="AP245" i="1" s="1"/>
  <c r="AO246" i="1"/>
  <c r="AP246" i="1" s="1"/>
  <c r="AO247" i="1"/>
  <c r="AP247" i="1" s="1"/>
  <c r="AO248" i="1"/>
  <c r="AP248" i="1" s="1"/>
  <c r="AO249" i="1"/>
  <c r="AP249" i="1" s="1"/>
  <c r="AO250" i="1"/>
  <c r="AP250" i="1" s="1"/>
  <c r="AO251" i="1"/>
  <c r="AP251" i="1" s="1"/>
  <c r="AO252" i="1"/>
  <c r="AP252" i="1" s="1"/>
  <c r="AO253" i="1"/>
  <c r="AP253" i="1" s="1"/>
  <c r="AO254" i="1"/>
  <c r="AP254" i="1" s="1"/>
  <c r="AO255" i="1"/>
  <c r="AP255" i="1" s="1"/>
  <c r="AO256" i="1"/>
  <c r="AP256" i="1" s="1"/>
  <c r="AO257" i="1"/>
  <c r="AP257" i="1" s="1"/>
  <c r="AO258" i="1"/>
  <c r="AP258" i="1" s="1"/>
  <c r="AO259" i="1"/>
  <c r="AP259" i="1" s="1"/>
  <c r="AO260" i="1"/>
  <c r="AP260" i="1" s="1"/>
  <c r="AO261" i="1"/>
  <c r="AP261" i="1" s="1"/>
  <c r="AO262" i="1"/>
  <c r="AP262" i="1" s="1"/>
  <c r="AO263" i="1"/>
  <c r="AP263" i="1" s="1"/>
  <c r="AO264" i="1"/>
  <c r="AP264" i="1" s="1"/>
  <c r="AO265" i="1"/>
  <c r="AP265" i="1" s="1"/>
  <c r="AO266" i="1"/>
  <c r="AP266" i="1" s="1"/>
  <c r="AO267" i="1"/>
  <c r="AP267" i="1" s="1"/>
  <c r="AO268" i="1"/>
  <c r="AP268" i="1" s="1"/>
  <c r="AO269" i="1"/>
  <c r="AP269" i="1" s="1"/>
  <c r="AO270" i="1"/>
  <c r="AP270" i="1" s="1"/>
  <c r="AO271" i="1"/>
  <c r="AP271" i="1" s="1"/>
  <c r="AO272" i="1"/>
  <c r="AP272" i="1" s="1"/>
  <c r="AO273" i="1"/>
  <c r="AP273" i="1" s="1"/>
  <c r="AO274" i="1"/>
  <c r="AP274" i="1" s="1"/>
  <c r="AO275" i="1"/>
  <c r="AP275" i="1" s="1"/>
  <c r="AO276" i="1"/>
  <c r="AP276" i="1" s="1"/>
  <c r="AO277" i="1"/>
  <c r="AP277" i="1" s="1"/>
  <c r="AO8" i="1"/>
  <c r="AP8" i="1" s="1"/>
  <c r="AM8" i="1"/>
  <c r="D5" i="24"/>
  <c r="I2" i="13"/>
  <c r="F3" i="23" l="1"/>
  <c r="F1" i="23"/>
  <c r="C12" i="24"/>
  <c r="A12" i="24"/>
  <c r="A11" i="24"/>
  <c r="A10" i="24"/>
  <c r="D4" i="24"/>
  <c r="D1" i="24"/>
  <c r="J4" i="13" l="1"/>
  <c r="R4" i="13"/>
  <c r="G6" i="13"/>
  <c r="D4" i="13"/>
  <c r="M2" i="13" a="1"/>
  <c r="M2" i="13" s="1"/>
  <c r="AM9" i="1" l="1"/>
  <c r="AM81" i="1"/>
  <c r="AM82" i="1"/>
  <c r="AM83" i="1"/>
  <c r="AM84" i="1"/>
  <c r="AM85" i="1"/>
  <c r="AM86" i="1"/>
  <c r="AM87" i="1"/>
  <c r="AM88" i="1"/>
  <c r="AM89" i="1"/>
  <c r="AM90" i="1"/>
  <c r="AM91" i="1"/>
  <c r="AM92" i="1"/>
  <c r="AM93" i="1"/>
  <c r="AM94" i="1"/>
  <c r="AM95" i="1"/>
  <c r="AM96" i="1"/>
  <c r="AM97" i="1"/>
  <c r="AM98" i="1"/>
  <c r="AM99" i="1"/>
  <c r="AM100" i="1"/>
  <c r="AM101" i="1"/>
  <c r="AM102" i="1"/>
  <c r="AM103" i="1"/>
  <c r="AM104" i="1"/>
  <c r="AM105" i="1"/>
  <c r="AM106" i="1"/>
  <c r="AM107" i="1"/>
  <c r="AM108" i="1"/>
  <c r="AM109" i="1"/>
  <c r="AM110" i="1"/>
  <c r="AM111" i="1"/>
  <c r="AM112" i="1"/>
  <c r="AM113" i="1"/>
  <c r="AM114" i="1"/>
  <c r="AM115" i="1"/>
  <c r="AM116" i="1"/>
  <c r="AM117" i="1"/>
  <c r="AM118" i="1"/>
  <c r="AM119" i="1"/>
  <c r="AM120" i="1"/>
  <c r="AM121" i="1"/>
  <c r="AM122" i="1"/>
  <c r="AM123" i="1"/>
  <c r="AM124" i="1"/>
  <c r="AM125" i="1"/>
  <c r="AM126" i="1"/>
  <c r="AM127" i="1"/>
  <c r="AM128" i="1"/>
  <c r="AM129" i="1"/>
  <c r="AM130" i="1"/>
  <c r="AM131" i="1"/>
  <c r="AM132" i="1"/>
  <c r="AM133" i="1"/>
  <c r="AM134" i="1"/>
  <c r="AM135" i="1"/>
  <c r="AM136" i="1"/>
  <c r="AM137" i="1"/>
  <c r="AM138" i="1"/>
  <c r="AM139" i="1"/>
  <c r="AM140" i="1"/>
  <c r="AM141" i="1"/>
  <c r="AM142" i="1"/>
  <c r="AM143" i="1"/>
  <c r="AM144" i="1"/>
  <c r="AM145" i="1"/>
  <c r="AM146" i="1"/>
  <c r="AM147" i="1"/>
  <c r="AM148" i="1"/>
  <c r="AM149" i="1"/>
  <c r="AM150" i="1"/>
  <c r="AM151" i="1"/>
  <c r="AM152" i="1"/>
  <c r="AM153" i="1"/>
  <c r="AM154" i="1"/>
  <c r="AM155" i="1"/>
  <c r="AM156" i="1"/>
  <c r="AM157" i="1"/>
  <c r="AM158" i="1"/>
  <c r="AM159" i="1"/>
  <c r="AM160" i="1"/>
  <c r="AM161" i="1"/>
  <c r="AM162" i="1"/>
  <c r="AM163" i="1"/>
  <c r="AM164" i="1"/>
  <c r="AM165" i="1"/>
  <c r="AM166" i="1"/>
  <c r="AM167" i="1"/>
  <c r="AM168" i="1"/>
  <c r="AM169" i="1"/>
  <c r="AM170" i="1"/>
  <c r="AM171" i="1"/>
  <c r="AM172" i="1"/>
  <c r="AM173" i="1"/>
  <c r="AM174" i="1"/>
  <c r="AM175" i="1"/>
  <c r="AM176" i="1"/>
  <c r="AM177" i="1"/>
  <c r="AM178" i="1"/>
  <c r="AM179" i="1"/>
  <c r="AM180" i="1"/>
  <c r="AM181" i="1"/>
  <c r="AM182" i="1"/>
  <c r="AM183" i="1"/>
  <c r="AM184" i="1"/>
  <c r="AM185" i="1"/>
  <c r="AM186" i="1"/>
  <c r="AM187" i="1"/>
  <c r="AM188" i="1"/>
  <c r="AM189" i="1"/>
  <c r="AM190" i="1"/>
  <c r="AM191" i="1"/>
  <c r="AM192" i="1"/>
  <c r="AM193" i="1"/>
  <c r="AM194" i="1"/>
  <c r="AM195" i="1"/>
  <c r="AM196" i="1"/>
  <c r="AM197" i="1"/>
  <c r="AM198" i="1"/>
  <c r="AM199" i="1"/>
  <c r="AM200" i="1"/>
  <c r="AM201" i="1"/>
  <c r="AM202" i="1"/>
  <c r="AM203" i="1"/>
  <c r="AM204" i="1"/>
  <c r="AM205" i="1"/>
  <c r="AM206" i="1"/>
  <c r="AM207" i="1"/>
  <c r="AM208" i="1"/>
  <c r="AM209" i="1"/>
  <c r="AM210" i="1"/>
  <c r="AM211" i="1"/>
  <c r="AM212" i="1"/>
  <c r="AM213" i="1"/>
  <c r="AM214" i="1"/>
  <c r="AM215" i="1"/>
  <c r="AM216" i="1"/>
  <c r="AM217" i="1"/>
  <c r="AM218" i="1"/>
  <c r="AM219" i="1"/>
  <c r="AM220" i="1"/>
  <c r="AM221" i="1"/>
  <c r="AM222" i="1"/>
  <c r="AM223" i="1"/>
  <c r="AM224" i="1"/>
  <c r="AM225" i="1"/>
  <c r="AM226" i="1"/>
  <c r="AM227" i="1"/>
  <c r="AM228" i="1"/>
  <c r="AM229" i="1"/>
  <c r="AM230" i="1"/>
  <c r="AM231" i="1"/>
  <c r="AM232" i="1"/>
  <c r="AM233" i="1"/>
  <c r="AM234" i="1"/>
  <c r="AM235" i="1"/>
  <c r="AM236" i="1"/>
  <c r="AM237" i="1"/>
  <c r="AM238" i="1"/>
  <c r="AM239" i="1"/>
  <c r="AM240" i="1"/>
  <c r="AM241" i="1"/>
  <c r="AM242" i="1"/>
  <c r="AM243" i="1"/>
  <c r="AM244" i="1"/>
  <c r="AM245" i="1"/>
  <c r="AM246" i="1"/>
  <c r="AM247" i="1"/>
  <c r="AM248" i="1"/>
  <c r="AM249" i="1"/>
  <c r="AM250" i="1"/>
  <c r="AM251" i="1"/>
  <c r="AM252" i="1"/>
  <c r="AM253" i="1"/>
  <c r="AM254" i="1"/>
  <c r="AM255" i="1"/>
  <c r="AM256" i="1"/>
  <c r="AM257" i="1"/>
  <c r="AM258" i="1"/>
  <c r="AM259" i="1"/>
  <c r="AM260" i="1"/>
  <c r="AM261" i="1"/>
  <c r="AM262" i="1"/>
  <c r="AM263" i="1"/>
  <c r="AM264" i="1"/>
  <c r="AM265" i="1"/>
  <c r="AM266" i="1"/>
  <c r="AM267" i="1"/>
  <c r="AM268" i="1"/>
  <c r="AM269" i="1"/>
  <c r="AM270" i="1"/>
  <c r="AM271" i="1"/>
  <c r="AM272" i="1"/>
  <c r="AM273" i="1"/>
  <c r="AM274" i="1"/>
  <c r="AM275" i="1"/>
  <c r="AM276" i="1"/>
  <c r="AM277" i="1"/>
  <c r="AM10" i="1"/>
  <c r="AM11" i="1"/>
  <c r="AM12" i="1"/>
  <c r="AM13" i="1"/>
  <c r="AM14" i="1"/>
  <c r="AM15" i="1"/>
  <c r="AM16" i="1"/>
  <c r="AM17" i="1"/>
  <c r="AM18" i="1"/>
  <c r="AM19" i="1"/>
  <c r="AM20" i="1"/>
  <c r="AM21" i="1"/>
  <c r="AM22" i="1"/>
  <c r="AM23" i="1"/>
  <c r="AM24" i="1"/>
  <c r="AM25" i="1"/>
  <c r="AM26" i="1"/>
  <c r="AM27" i="1"/>
  <c r="AM28" i="1"/>
  <c r="AM29" i="1"/>
  <c r="AM30" i="1"/>
  <c r="AM31" i="1"/>
  <c r="AM32" i="1"/>
  <c r="AM33" i="1"/>
  <c r="AM34" i="1"/>
  <c r="AM35" i="1"/>
  <c r="AM36" i="1"/>
  <c r="AM37" i="1"/>
  <c r="AM38" i="1"/>
  <c r="AM39" i="1"/>
  <c r="AM40" i="1"/>
  <c r="AM41" i="1"/>
  <c r="AM42" i="1"/>
  <c r="AM43" i="1"/>
  <c r="AM44" i="1"/>
  <c r="AM45" i="1"/>
  <c r="AM46" i="1"/>
  <c r="AM47" i="1"/>
  <c r="AM48" i="1"/>
  <c r="AM49" i="1"/>
  <c r="AM50" i="1"/>
  <c r="AM51" i="1"/>
  <c r="AM52" i="1"/>
  <c r="AM53" i="1"/>
  <c r="AM54" i="1"/>
  <c r="AM55" i="1"/>
  <c r="AM56" i="1"/>
  <c r="AM57" i="1"/>
  <c r="AM58" i="1"/>
  <c r="AM59" i="1"/>
  <c r="AM60" i="1"/>
  <c r="AM61" i="1"/>
  <c r="AM62" i="1"/>
  <c r="AM63" i="1"/>
  <c r="AM64" i="1"/>
  <c r="AM65" i="1"/>
  <c r="AM66" i="1"/>
  <c r="AM67" i="1"/>
  <c r="AM68" i="1"/>
  <c r="AM69" i="1"/>
  <c r="AM70" i="1"/>
  <c r="AM71" i="1"/>
  <c r="AM72" i="1"/>
  <c r="AM73" i="1"/>
  <c r="AM74" i="1"/>
  <c r="AM75" i="1"/>
  <c r="AM76" i="1"/>
  <c r="AM77" i="1"/>
  <c r="AM78" i="1"/>
  <c r="AM79" i="1"/>
  <c r="AM80" i="1" l="1"/>
  <c r="T5" i="13"/>
  <c r="G10" i="13"/>
  <c r="D1" i="13"/>
  <c r="A12" i="13"/>
  <c r="A13" i="13"/>
  <c r="A10" i="13"/>
  <c r="O14" i="13"/>
  <c r="C11" i="13"/>
  <c r="A11" i="13"/>
  <c r="A9" i="13"/>
  <c r="T2" i="1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<sst xmlns="http://schemas.openxmlformats.org/spreadsheetml/2006/main" count="4559" uniqueCount="3193">
  <si>
    <t>N°</t>
  </si>
  <si>
    <t>CARCINOGENO</t>
  </si>
  <si>
    <t>SI/NO</t>
  </si>
  <si>
    <t>Descripción</t>
  </si>
  <si>
    <t>Código</t>
  </si>
  <si>
    <t>Imagen</t>
  </si>
  <si>
    <t>Explosivos</t>
  </si>
  <si>
    <t>Gas inflamable</t>
  </si>
  <si>
    <t>Gas no inflamable</t>
  </si>
  <si>
    <t>Gas tóxico</t>
  </si>
  <si>
    <t>Líquido inflamable</t>
  </si>
  <si>
    <t>Sólido inflamable</t>
  </si>
  <si>
    <t>Espontaneamente combustible</t>
  </si>
  <si>
    <t>Peligroso con la humedad</t>
  </si>
  <si>
    <t>Toxico</t>
  </si>
  <si>
    <t>Sustancias infecciosas</t>
  </si>
  <si>
    <t>Radioactivo</t>
  </si>
  <si>
    <t>Corrosivos</t>
  </si>
  <si>
    <t>Miscelaneos</t>
  </si>
  <si>
    <t>No aplica</t>
  </si>
  <si>
    <t>Peligro 1</t>
  </si>
  <si>
    <t>Peligro 2</t>
  </si>
  <si>
    <t>Peligros</t>
  </si>
  <si>
    <t>Peróxido organico</t>
  </si>
  <si>
    <t>Oxidante</t>
  </si>
  <si>
    <t>Peligroso para el medio ambiente acuático</t>
  </si>
  <si>
    <t>Físicos</t>
  </si>
  <si>
    <t>Salud Humana</t>
  </si>
  <si>
    <t>Medio Ambiente</t>
  </si>
  <si>
    <t>SISTEMA GLOBALMENTE ARMONIZADO</t>
  </si>
  <si>
    <t>Ambiental</t>
  </si>
  <si>
    <t>Ilustración1</t>
  </si>
  <si>
    <t>Ilustración2</t>
  </si>
  <si>
    <t>Ilustración3</t>
  </si>
  <si>
    <t>Descripción2</t>
  </si>
  <si>
    <t>Descripción3</t>
  </si>
  <si>
    <t>Descripción1</t>
  </si>
  <si>
    <t>Peligro 3</t>
  </si>
  <si>
    <t>FRASES H</t>
  </si>
  <si>
    <t xml:space="preserve">FRASES P </t>
  </si>
  <si>
    <t>Peligroso para la capa de ozono</t>
  </si>
  <si>
    <t>Corrosivo para la piel</t>
  </si>
  <si>
    <t>Inflamable</t>
  </si>
  <si>
    <t>Gas a presión</t>
  </si>
  <si>
    <t>Corrosivo para metales</t>
  </si>
  <si>
    <t>Sistema Globalmente Armonizado</t>
  </si>
  <si>
    <t>Pictogramas NTC 1692</t>
  </si>
  <si>
    <t>Rayas</t>
  </si>
  <si>
    <t>Palabra de advertencia</t>
  </si>
  <si>
    <t>EPI (Elementos Proteccion Individual a usar)</t>
  </si>
  <si>
    <t>Informacion del proveedor</t>
  </si>
  <si>
    <t>Identificacion UN</t>
  </si>
  <si>
    <t>Consejos de prudencia (Frases P)</t>
  </si>
  <si>
    <t>Indicaciones de peligro (Frases H)</t>
  </si>
  <si>
    <t>N°CAS</t>
  </si>
  <si>
    <t>Guantes</t>
  </si>
  <si>
    <t>Traje</t>
  </si>
  <si>
    <t>9. Sustancias peligrosas varias</t>
  </si>
  <si>
    <t>Irritacion ocular y otros</t>
  </si>
  <si>
    <t>Toxicidad aguda</t>
  </si>
  <si>
    <t>Peligroso por aspiración</t>
  </si>
  <si>
    <t>Comburentes</t>
  </si>
  <si>
    <t>7. Sustancia Radiactiva</t>
  </si>
  <si>
    <t>8. Sustancia Corrosiva</t>
  </si>
  <si>
    <t>6.1 Sustancias toxicas</t>
  </si>
  <si>
    <t>6.2 Sustancias infecciosas</t>
  </si>
  <si>
    <t>5.1  Oxidante</t>
  </si>
  <si>
    <t>5.2 Peroxido Organico</t>
  </si>
  <si>
    <t>4.1 Solido inflamable</t>
  </si>
  <si>
    <t>4.2 Combustible espontaneamente</t>
  </si>
  <si>
    <t>4.3 Peligroso en contacto con agua</t>
  </si>
  <si>
    <t>1. Explosivo</t>
  </si>
  <si>
    <t>2.1 Gas Inflamable</t>
  </si>
  <si>
    <t>2.2 Gas no inflamable</t>
  </si>
  <si>
    <t>2.3 Gas Tóxico</t>
  </si>
  <si>
    <t>3. Líquido inflamable</t>
  </si>
  <si>
    <t>X</t>
  </si>
  <si>
    <t>No reporta</t>
  </si>
  <si>
    <t xml:space="preserve">P210 - Mantener alejado del calor, superficies calientes, chispas llamas al descubierto y otras fuentes de ignición No fumar
P261 - Evitar respirar polvos/humos/gases/ nieblas/vapores/aerosoles
P264 - Lavarse cuidadosamente después de la manipulación
P273 - No dispersar en el medio ambiente
P280 - Usar guantes/ropa de protección/equipo de protección para los ojos/la cara
P331 - NO provocar el vómito
P301-P310 - EN CASO DE INGESTIÓN: Llamar inmediatamente a un CENTRO DE TOXICOLOGÍA/médico/…
P302-P352 - EN CASO DE CONTACTO CON LA PIEL: Lavar con abundante agua/
P304-P340 - EN CASO DE INHALACIÓN: Transportar a la persona al aire libre y mantenerla en una posición que le facilite la respiración
P332-P313 - En caso de irritación cutánea: consultar a un médico
P362-P364 - Quitar la ropa contaminada y lavarla antes de volverla a usar
P403- P235 - Almacenar en un lugar bien ventilado Mantener fresco
</t>
  </si>
  <si>
    <t>64742-89-3</t>
  </si>
  <si>
    <t>Ojos</t>
  </si>
  <si>
    <t>Líquido y vapor inflamables. Peligro de incendio o explosión por calor, chispa o llamas. El vapor puede causar dolor de cabeza, náuseas, vértigo, somnolencia, inconsciencia y muerte. Irritante leve o medio para piel y ojos</t>
  </si>
  <si>
    <t>Nocivo, medianamente inflamable.
Al inhalar y en contacto con la piel y los ojos puede ser nocivo. Irrita la piel y los ojos.</t>
  </si>
  <si>
    <t>Protección de las vías respiratorias: Es aconsejable procurar buena ventilación durante su aplicación, NO respirar los vapores (utilizar mascara de protección con filtro para vapor)
Protección de los ojos: Es aconsejable el uso de gafas protectoras.
Protección de las manos y de la piel: Es aconsejable utilizar guantes y ropa adecuada. (Se recomienda ducha y jabón suave en el sitio de almacenamiento y trabajo diario).</t>
  </si>
  <si>
    <t>Inhalación: Los vapores del acetato de etilo son irritantes a los ojos y al tracto respiratorio por encima de 400 ppm.
Ingestión: Puede acusar dolor de cabeza, somnolencia e inconciencia
Contacto/ Piel Y Ojos: El contacto con los ojos puede causar irritación dolorosa de la conjuntiva. Repetido o prolongado contacto con la piel tiene un efecto desengrasante y puede causar secado y grietas
Efectos adversos sobre la Salud: No presenta efectos adversos para
la salud .
Efectos sobre el medio ambiente: El material biodegradable no
produce efectos en el medio ambiente.
EFECTOS ADVERSOS SOBRE LA SALUD: Si la piel se contamina con Limpiamax Pavco ésta deberá lavarse inmediatamente por lo menos durante 15 minutos o se beberá tomar una ducha para eliminar cualquier vestigio de este producto.
La sobre exposición crónica puede causar anemia con leucocitosis y daño al hígado y riñones. Una vez en el cuerpo se hidroliza a etanol y ácido acético.
EFECTOS SOBRE EL MEDIO AMBIENTE: En caso de derrames, mantenga al público alejado. Impida la descarga adicional de material si no atenta con su integridad Personal, despeje el área, impida flujo vehicular. Notifique a las autoridades cualquier descarga en un área pública. Evite el descargue directo de derrames o residuos a desagües y sistemas de alcantarillado.
Contenga el material con arena o vermiculita y utilice el procedimiento de limpieza.</t>
  </si>
  <si>
    <t>Medidas de ingeniería
para reducir la exposición: Lugares ventilados y aislados de materiales
incompatibles 
Procedimientos de Monitoreo recomendados: Sistemas de extracción y ventilación en el área Medidas de higiene: Inmediatamente quitarse cualquier ropa que llegue a ser mojada o contaminada. La ropa
contaminada debe ser colocada en un recipiente cerrado hasta que sea eliminada o descontaminada. Advertir al personal de limpieza sobre el peligro del producto químico.
Equipos de protección personal: Exigir el uso de guantes botas delantales y ropa protectora impermeable para evitar el contacto con la piel prolongado o repetitivo, en materiales como goma, butilo, viton o material resistente a productos químicos, mascara para vapores orgánicos y gafas protectoras a prueba de salpicadura.</t>
  </si>
  <si>
    <t>P101 Si se necesita consultar a un médico, tener a mano el recipiente o la etiqueta del producto
P102 Mantener fuera del alcance de los niños
P210 Mantener alejado del calor, superficies calientes, chispas, llamas
al descubierto y otras fuentes de ignición. No fumar.
P223 Mantener el recipiente herméticamente cerrado
P240 Toma de tierra y enlace equipotencial del recipiente y del equipo
receptor
P241 Utilizar material (Eléctrico/ de ventilación/iluminación)
antideflagrante.
P261 Evitar respirar polvos / humos/ gases/ nieblas/ aerosoles
P264 Lavarse las manos cuidadosamente después de la manipulación.
P270 No comer, beber o fumar mientras se manipula este producto.
P271 Utilizar sólo al aire libre o en un lugar bien ventilado
P280 Usar equipo de protección para los ojos/ la cara
P308+P313 EN CASO DE exposición demostrada o supuesta: consultar
a un médico.
P304+P340 EN CASO DE INHALACIÓN: Transportar a la persona al
aire libre y mantenerla en una posición que le facilite la respiración
P305+P351+P338 EN CASO DE CONTACTO CON LOS OJOS: Enjuagar con agua cuidadosamente durante varios minutos. Quitar las lentes de contacto cuando estén presentes y pueda hacerse con facilidad. Proseguir con el lavado.
P337+P313 Si la irritación persiste, consultar a un médico.
P301+P312 EN CASO DE INGESTIÓN: Llamar a un CENTRO DE TOXICOLOGÍA / médico si la persona se encuentra mal.
P330 Enjuagarse la boca
P303+P361+P353 EN CASO DE CONTACTO CON LA PIEL(o el pelo): Quitar inmediatamente toda la ropa contaminada. Enjuagar la piel con agua (o ducharse)
P370+P378 En caso de incendio: utilizar químico seco, espuma, CO2 para la extinción.
P403+P235 Almacenar en un lugar bien ventilado. Mantener fresco.
P405 Guardar bajo llave
P501 Eliminar el contenido/ recipiente con un gestor autorizado.</t>
  </si>
  <si>
    <t>TWA: 300 ppm (890 mg/m3). STEL (TECHO): 500 ppm (1480 mg/m3). Carcinogenicidad A3 (Cancerígeno en animales). (ACGIH).
Elementos de protección personal sugeridos.
Guantes.  &gt;8hr: Nitrilo, Viton.  &gt;4hr: PVA.
Piel.   Contacto prolongado o repetido: Trajes de Viton® o Responder®.  Riesgo leve o moderado de salpicaduras: traje en Tyvek® QC, Tychem®
Proteccion respiratoria.   Hasta 500 ppm: respirador purificador de aire con pieza facial completa y cartucho para vapores orgánicos.    Mayor que 500 ppm o desconocidas: Equipo de respiración autocontenido</t>
  </si>
  <si>
    <t>Pictogramas</t>
  </si>
  <si>
    <t xml:space="preserve">P242 No utilizar herramientas que produzcan chispas.
P243 Tomar medidas de precaución contra las descargas electrostáticas.
P264 Lavarse la piel concienzudamente tras la manipulación.
P270 No comer, beber ni fumar durante su utilización.
P280 Llevar guantes/ gafas/ máscara de protección.
P301 + P310 + P330 EN CASO DE INGESTIÓN: Llamar inmediatamente a un CENTRO DE
TOXICOLOGĺA/médico. Enjuagarse la boca.
P303 + P361 + P353 EN CASO DE CONTACTO CON LA PIEL (o el pelo): Quitar inmediatamente
toda la ropa contaminada. Enjuagar la piel con agua.
P370 + P378 En caso de incendio: Utilizar arena seca, producto químico seco o espuma
resistente al alcohol para la extinción.
Almacenamiento:
P403 + P235 Almacenar en un lugar bien ventilado. Mantener en lugar fresco.
P405 Guardar bajo llave.
Eliminación:
P501 Eliminar el contenido/ el recipiente en una planta de eliminación de residuos autorizada. </t>
  </si>
  <si>
    <t>Xilol</t>
  </si>
  <si>
    <t>Ciclohexanona</t>
  </si>
  <si>
    <t>Hitec 672 performance additive</t>
  </si>
  <si>
    <t>Hitec 521 performance additive</t>
  </si>
  <si>
    <t>Hitec 8766B performance additive</t>
  </si>
  <si>
    <t>Hitec 8799B performance additive</t>
  </si>
  <si>
    <t>Hitec 2030 performance additive</t>
  </si>
  <si>
    <t>Hitec 2235 performance additive</t>
  </si>
  <si>
    <t>Hitec 410 performance additive</t>
  </si>
  <si>
    <t>Hitec 9325G  performance additive</t>
  </si>
  <si>
    <t>Hitec 5748A  performance additive</t>
  </si>
  <si>
    <t>Hitec 9570  performance additive</t>
  </si>
  <si>
    <t>Hitec 611  performance additive</t>
  </si>
  <si>
    <t>JET A - 1</t>
  </si>
  <si>
    <t>Hitec 343  performance additive</t>
  </si>
  <si>
    <t>Desengrasante base de agua(motorline)</t>
  </si>
  <si>
    <t>Refrigerante gasolina o Diesel(motorline)</t>
  </si>
  <si>
    <t>LÍQUIDO DE FRENOS MOTORLINE DOT 3 / DOT 4(motorline)</t>
  </si>
  <si>
    <t>Silicona protectora con UV(motorline)</t>
  </si>
  <si>
    <t>Lubricante (Hidraulico ISO 68)(motorline)</t>
  </si>
  <si>
    <t xml:space="preserve">Pasta para pulir </t>
  </si>
  <si>
    <t xml:space="preserve"> Lubricante Super Bike 2T Api TC; Jaso FC(motorline)</t>
  </si>
  <si>
    <t>Lubricante Super Bike 4T Api SL; Jaso MA(motorline)</t>
  </si>
  <si>
    <t>Lubricantes Transmisión 85w140 GL-5(motorline)</t>
  </si>
  <si>
    <t>Lubricante Transmisión 90 GL-5(motorline)</t>
  </si>
  <si>
    <t>Lubricante Transmisión 140 GL-5(motorline)</t>
  </si>
  <si>
    <t>Lubricante Transmisión ATF(motorline)</t>
  </si>
  <si>
    <t>Lubricante Ultra diesel 15w40 CI4 - SL(motorline)</t>
  </si>
  <si>
    <t>Lubricante Ultra diesel 40 – 50 CF(motorline)</t>
  </si>
  <si>
    <t>Lubricante Transmisión 80w90 GL-5(motorline)</t>
  </si>
  <si>
    <t>Grasa Lubricante</t>
  </si>
  <si>
    <t>ADELGAZADOR VINYLFAST LENTO 86</t>
  </si>
  <si>
    <t>PINTURA VINYLFAST 83</t>
  </si>
  <si>
    <t>SHAMPOO A BASE DE AGUA</t>
  </si>
  <si>
    <t>VARSOL</t>
  </si>
  <si>
    <t>THINER</t>
  </si>
  <si>
    <t>LIMPIADOR DE CARBURADOR EN AEROSOL CRC.</t>
  </si>
  <si>
    <t>WYNNS TAPA FUGAS RADIADOR STOP LEAK</t>
  </si>
  <si>
    <t xml:space="preserve">ABRO Octane Booster </t>
  </si>
  <si>
    <t>Havoline Gear Oil SAE 80W-90, 85W-140</t>
  </si>
  <si>
    <t>Chevron Havoline Motorcycle Oil 2T</t>
  </si>
  <si>
    <t>Chevron Hydraulic Oil AW-M 68</t>
  </si>
  <si>
    <t>Chevron Hydraulic Oil AW 32, 46, 68</t>
  </si>
  <si>
    <t>Chevron Texamatic Fluid</t>
  </si>
  <si>
    <t>Chevron Thuban 140, 9</t>
  </si>
  <si>
    <t>Castrol CRB Plus 15W-40</t>
  </si>
  <si>
    <t>Castrol CRB Viscus 25W-60</t>
  </si>
  <si>
    <t>CREMA MULTIUSOS  FROTEX</t>
  </si>
  <si>
    <t>Delo 400 XLE SAE 10W-30</t>
  </si>
  <si>
    <t xml:space="preserve">Delo Grease ESI EP 2 </t>
  </si>
  <si>
    <t>El anticongelante / refrigerante</t>
  </si>
  <si>
    <t>Delo ELI Corrosion Inhibitor - Premixed</t>
  </si>
  <si>
    <t>Ursa® HD SAE 15W-40</t>
  </si>
  <si>
    <t>Ursa Premium TDX Plus SAE 15W-40</t>
  </si>
  <si>
    <t>Ursa HD SAE 30, 40, 50</t>
  </si>
  <si>
    <t>Ultra chain (lubricante de cadena)</t>
  </si>
  <si>
    <t>Heavy duty 25w60</t>
  </si>
  <si>
    <t>Full bike 4t 10w40 sintético</t>
  </si>
  <si>
    <t>Full bike 4t 15w50 sintético</t>
  </si>
  <si>
    <t>Aditivo jet (mejorador de viscosidad)</t>
  </si>
  <si>
    <t xml:space="preserve">Aditivo caja y transmisión </t>
  </si>
  <si>
    <t>2T JASO F</t>
  </si>
  <si>
    <t>EVOLUTION SXR 5W40</t>
  </si>
  <si>
    <t>Havoline Motor Oil SAE 5W-20, 5W-30, 10W-30, 10W-40, 20W-50, 30, 40</t>
  </si>
  <si>
    <t>Delo 400 XSP SAE 5W-40</t>
  </si>
  <si>
    <t>Delo 400 MGX SAE 15W-40</t>
  </si>
  <si>
    <t>Delo 400 SDE SAE 15W-40</t>
  </si>
  <si>
    <t xml:space="preserve">Delo 400 XSP SAE 5W-40 </t>
  </si>
  <si>
    <t>Delo 400 LE SAE 15W-40</t>
  </si>
  <si>
    <t>Limpiador de carbohidratos y estranguladores ABRO</t>
  </si>
  <si>
    <t xml:space="preserve">ABRO AB-80 SPRAY LUBRICANT 8. PENETRATING OIL </t>
  </si>
  <si>
    <t xml:space="preserve">ABRO Limpiador  de Contactos Electrónicos.  </t>
  </si>
  <si>
    <t>Texaco TGF Óleo de Engrenagem SAE 80W-90</t>
  </si>
  <si>
    <t xml:space="preserve">Multigear Premium EP SAE 85W-140 </t>
  </si>
  <si>
    <t>ESPIRANEO</t>
  </si>
  <si>
    <t>GULF SUPREME DUTY XLE</t>
  </si>
  <si>
    <t xml:space="preserve">Batería sellada que contiene baterías de plomo ácido </t>
  </si>
  <si>
    <t xml:space="preserve">ACIDO SULFURICO </t>
  </si>
  <si>
    <t>GULF AGUA DE BATERÍA</t>
  </si>
  <si>
    <t>LIMPIADOR DE INYECTORES</t>
  </si>
  <si>
    <t xml:space="preserve">5-56 Lubricante Penetrante Multipropósito en Aerosol CRC. </t>
  </si>
  <si>
    <t xml:space="preserve">BRILLANTAS CRC </t>
  </si>
  <si>
    <t xml:space="preserve">CERA PLUS CON TEFLON CRC </t>
  </si>
  <si>
    <t xml:space="preserve">LUBRICANTE DE CADENAS MOTOS </t>
  </si>
  <si>
    <t xml:space="preserve">QD LIMPIADOR ELECTRONICO CRC </t>
  </si>
  <si>
    <t xml:space="preserve">TERPEL CELERITY 10W40 SINTETICO </t>
  </si>
  <si>
    <t>TERPEL CELERITY 20W40</t>
  </si>
  <si>
    <t xml:space="preserve">TERPEL CELERITY 20W50 TITANIO </t>
  </si>
  <si>
    <t xml:space="preserve">TERPEL CELERITY BIO ANTIHUMO FD </t>
  </si>
  <si>
    <t xml:space="preserve">TERPEL CELERITY FB </t>
  </si>
  <si>
    <t xml:space="preserve">TERPEL OILTEC 5W40 SINTETICO SN </t>
  </si>
  <si>
    <t>TERPEL OILTEC 10W40 TITANIO SN</t>
  </si>
  <si>
    <t xml:space="preserve">TERPEL OILTEC 20W50 MULTÍGRADO SL </t>
  </si>
  <si>
    <t xml:space="preserve">TERPEL OILTEC 20W50 TITANIO SN </t>
  </si>
  <si>
    <t xml:space="preserve">TERPEL OILTEC MONÓGRADO SG SAE 40, 50 </t>
  </si>
  <si>
    <t xml:space="preserve">TERPEL OILTEC TERGAS 10W40 SN </t>
  </si>
  <si>
    <t xml:space="preserve">TERPEL OILTEC TERGAS 20W50 SL </t>
  </si>
  <si>
    <t xml:space="preserve">TERPEL OILTEC TERGAS 50 SL </t>
  </si>
  <si>
    <t xml:space="preserve">TERPEL ULTREK 15W40 MULTÍGRADO </t>
  </si>
  <si>
    <t>TERPEL ULTREK 15W40 PLUS</t>
  </si>
  <si>
    <t xml:space="preserve">TERPEL ULTREK 15W-40 PRO CK-4 </t>
  </si>
  <si>
    <t>TERPEL ULTREK 25W50 ALTO KILOMETRAJE</t>
  </si>
  <si>
    <t xml:space="preserve">TERPEL ULTREK 50 MONÓGRADO </t>
  </si>
  <si>
    <t xml:space="preserve">TERPEL ULTREK DIFERENCIALES 85W140 </t>
  </si>
  <si>
    <t xml:space="preserve">TERPEL ULTREK DIFERENCIALES 140 </t>
  </si>
  <si>
    <t xml:space="preserve">TERPEL ULTREK TRANSMISIONES 80W90 </t>
  </si>
  <si>
    <t xml:space="preserve">TERPEL ULTREK TRANSMISIONES 90 </t>
  </si>
  <si>
    <t>Aceite soluble</t>
  </si>
  <si>
    <t>DIELECTRICO</t>
  </si>
  <si>
    <t>DIETILENGLICOL</t>
  </si>
  <si>
    <t xml:space="preserve">ULTRASOLVE </t>
  </si>
  <si>
    <t xml:space="preserve">PARAFINA MEDIA </t>
  </si>
  <si>
    <t>DESENGRASANTE DE MOTOR DIS-601</t>
  </si>
  <si>
    <t xml:space="preserve">VINILO SÚPER </t>
  </si>
  <si>
    <t>SHAMPOO  MOTORLINE</t>
  </si>
  <si>
    <t>TERPEL CELERITY 15W50 SEMISINTETICO</t>
  </si>
  <si>
    <t xml:space="preserve"> TERPEL OILTEC 5W40 SINTETICO SN </t>
  </si>
  <si>
    <t xml:space="preserve">LIMPIADOR DE CARBURADOR </t>
  </si>
  <si>
    <t>Castrol 2T Motorcycle Oil</t>
  </si>
  <si>
    <t>Wynn's Lavado interno de motores Limpiador y acondicionador de sistemas de aceite</t>
  </si>
  <si>
    <t>Wynn's Antifriccionante para motor Supreme Friction Proofing Engine Treatment(Wynn's Antifriccionante para motor Supreme Friction Proofing Engine Treatment)</t>
  </si>
  <si>
    <t>Dragón de Wynn Power Clean</t>
  </si>
  <si>
    <t xml:space="preserve">Aceite base y aditivos(Base oil and additives) </t>
  </si>
  <si>
    <t xml:space="preserve">Mobil Delvac Super 15W-40 </t>
  </si>
  <si>
    <t xml:space="preserve">ACEITE TRANSMISIÓN 85W140 </t>
  </si>
  <si>
    <t xml:space="preserve"> Gulf Max SAE 10W-30 API SL/CF  Gulf Max SAE 20W-50 API SL/CF </t>
  </si>
  <si>
    <t xml:space="preserve">Castrol Power 1 TTS 2T </t>
  </si>
  <si>
    <t>Castrol GTX Professional 20W-50</t>
  </si>
  <si>
    <t>COMPUESTO DE GOMA No.7®</t>
  </si>
  <si>
    <t>MOTOR KOTE 100 ANTIFRICCIÓN</t>
  </si>
  <si>
    <t xml:space="preserve">ELF COMPETITION DIESEL 10W 40 </t>
  </si>
  <si>
    <t>ELF SOLARIS FE 5W30</t>
  </si>
  <si>
    <t>COMPETITION STI 10W40</t>
  </si>
  <si>
    <t>Grasa multipropósito de Wynn # 2</t>
  </si>
  <si>
    <t>Wynn's Reductor de Emissiones Emission Control</t>
  </si>
  <si>
    <t>BETÚN PASTA</t>
  </si>
  <si>
    <t xml:space="preserve">MULTICERA </t>
  </si>
  <si>
    <t>Hidráulico ISO  100</t>
  </si>
  <si>
    <t>Motorgas 20w50</t>
  </si>
  <si>
    <t>Motorgas 50</t>
  </si>
  <si>
    <t>Optimo 10w30 sintético</t>
  </si>
  <si>
    <t>Optimo 10w40 sintético</t>
  </si>
  <si>
    <t>Scalex 40 – 50 SF</t>
  </si>
  <si>
    <t>Scalex 20w50 SN</t>
  </si>
  <si>
    <t>Optimo 5W30 sintético</t>
  </si>
  <si>
    <t>FORK OIL FL L 5W</t>
  </si>
  <si>
    <t xml:space="preserve"> FORK OIL FL MED 10W </t>
  </si>
  <si>
    <t>Castrol Go! 4T 20W-40</t>
  </si>
  <si>
    <t>Grasa Multiuso de litio</t>
  </si>
  <si>
    <t xml:space="preserve">Delo Grease ESI HD EP 1, 2 </t>
  </si>
  <si>
    <t>Castrol GTX 20W-50</t>
  </si>
  <si>
    <t>Limpiador de inyectores de combustible ABRO</t>
  </si>
  <si>
    <t>PINTURA EN AEROSOL</t>
  </si>
  <si>
    <t xml:space="preserve"> POMADA ESMERIL Y TAPAGOTERAS DE RADIADOR </t>
  </si>
  <si>
    <t xml:space="preserve"> ACEITES Y GRASAS LUBRICANTES,ADITIVOS PARA CÁRTER Y TRANSMISIÓN </t>
  </si>
  <si>
    <t>Marfak Heavy Duty 2</t>
  </si>
  <si>
    <t xml:space="preserve"> MOBIL 1 PEAK LIFE 5W-50 </t>
  </si>
  <si>
    <t xml:space="preserve"> MOBIL DELVAC MX 15W-40 </t>
  </si>
  <si>
    <t xml:space="preserve"> MOBIL ALMO 527 </t>
  </si>
  <si>
    <t>MOBIL DELVAC 1 5W-40</t>
  </si>
  <si>
    <t xml:space="preserve"> MOBIL DELVAC 1350</t>
  </si>
  <si>
    <t xml:space="preserve">MOBIL DELVAC SYNTHETIC ATF </t>
  </si>
  <si>
    <t xml:space="preserve"> MOBIL DELVAC XHP EXTRA 10W-40</t>
  </si>
  <si>
    <t>MOBIL DTE 26</t>
  </si>
  <si>
    <t xml:space="preserve">MOBIL EXTRA 2T </t>
  </si>
  <si>
    <t xml:space="preserve"> MOBIL SUPER 2T </t>
  </si>
  <si>
    <t xml:space="preserve">MOBIL SUPER 2000 X1 10W-30 </t>
  </si>
  <si>
    <t xml:space="preserve">MOBILFLUID 424 </t>
  </si>
  <si>
    <t>MOBILGREASE XHP 222</t>
  </si>
  <si>
    <t xml:space="preserve"> MOBIL SUPER 1000 20W-50</t>
  </si>
  <si>
    <t xml:space="preserve">MOBILTRANS HD 50 </t>
  </si>
  <si>
    <t>MOBILUBE HD 80W-90</t>
  </si>
  <si>
    <t xml:space="preserve"> MOBILUBE HD 85W-140</t>
  </si>
  <si>
    <t xml:space="preserve"> 710 2T </t>
  </si>
  <si>
    <t xml:space="preserve">510 2T </t>
  </si>
  <si>
    <t xml:space="preserve"> 7100 20W50 4T </t>
  </si>
  <si>
    <t xml:space="preserve"> 3000 20W50 4T </t>
  </si>
  <si>
    <t xml:space="preserve"> HD 85W140 </t>
  </si>
  <si>
    <t xml:space="preserve"> 800 2T FL ROAD RACING </t>
  </si>
  <si>
    <t xml:space="preserve">2000 MULTIGRADE 20W50 </t>
  </si>
  <si>
    <t xml:space="preserve"> 7100 4T 10W40 OFF ROAD </t>
  </si>
  <si>
    <t xml:space="preserve"> 8100 X-CLEAN EFE 5W30 </t>
  </si>
  <si>
    <t xml:space="preserve"> 5100 4T 10W40 OFF ROAD 12X1L </t>
  </si>
  <si>
    <t xml:space="preserve"> TRANS ATF </t>
  </si>
  <si>
    <t xml:space="preserve"> C4 CHAIN LUBE FL </t>
  </si>
  <si>
    <t xml:space="preserve"> C3 CHAIN LUBE OFF ROAD </t>
  </si>
  <si>
    <t xml:space="preserve"> MULTI CVTF</t>
  </si>
  <si>
    <t xml:space="preserve"> MULTI DCTF </t>
  </si>
  <si>
    <t xml:space="preserve"> P4 E.Z.LUBE </t>
  </si>
  <si>
    <t xml:space="preserve">2347R THERMATEX EP 2 </t>
  </si>
  <si>
    <t xml:space="preserve">NUTO H 68 </t>
  </si>
  <si>
    <t xml:space="preserve">SCOOTER POWER 2T </t>
  </si>
  <si>
    <t>REPSOL MOTO SINTETICO 2T</t>
  </si>
  <si>
    <t>REPSOL MOTO TOWN 2T</t>
  </si>
  <si>
    <t xml:space="preserve">Shell Rimula R2 40 </t>
  </si>
  <si>
    <t xml:space="preserve">Shell Rimula R4 X 15W-40 </t>
  </si>
  <si>
    <t xml:space="preserve"> Shell Spirax S2 A 80W-90 </t>
  </si>
  <si>
    <t xml:space="preserve">Shell Spirax S2 A 85W-140 </t>
  </si>
  <si>
    <t xml:space="preserve">Shell Spirax S4 CX 50 </t>
  </si>
  <si>
    <t xml:space="preserve">VARSOL LÍQUIDO PARA BRILLAR </t>
  </si>
  <si>
    <t xml:space="preserve">Terpel Maxter 15W40 Avanzado Terpel Maxter 15W40 Progresa Terpel Maxter 15W40 Multigrado CI-4 Terpel Maxter 15W40 Multigrado CF-4 </t>
  </si>
  <si>
    <t>ENGRANAJE SCOOTER 2T &amp; 4T</t>
  </si>
  <si>
    <t xml:space="preserve">6100 SYNERGIE+ 10W40 </t>
  </si>
  <si>
    <t>ACDELCO 10W-30</t>
  </si>
  <si>
    <t xml:space="preserve"> ACEITE 20W50 </t>
  </si>
  <si>
    <t xml:space="preserve"> Castrol Power 1 TTS 2T </t>
  </si>
  <si>
    <t xml:space="preserve">Multifak EP 0, 1, 2 </t>
  </si>
  <si>
    <t xml:space="preserve"> No.7® RUBBING COMPOUND(Copao Blanco)</t>
  </si>
  <si>
    <t xml:space="preserve">ACEITES USADOS </t>
  </si>
  <si>
    <t>ALCOHOL ETILICO</t>
  </si>
  <si>
    <t xml:space="preserve">Drespherols-HT Antioxidande Natural </t>
  </si>
  <si>
    <t xml:space="preserve">Azul de Metileno </t>
  </si>
  <si>
    <t xml:space="preserve">BENZOATO DE  SODIO </t>
  </si>
  <si>
    <t>Benzofenona</t>
  </si>
  <si>
    <t xml:space="preserve"> BIOCIDA </t>
  </si>
  <si>
    <t xml:space="preserve"> CLORURO DE BENZALCONIO </t>
  </si>
  <si>
    <t xml:space="preserve"> CLORURO DE SODIO </t>
  </si>
  <si>
    <t xml:space="preserve">Colorante azul líquido #D878. </t>
  </si>
  <si>
    <t>QUEROSENO</t>
  </si>
  <si>
    <t>Gulf Líquido para frenos DOT-3</t>
  </si>
  <si>
    <t>MONOETILENGLICOL</t>
  </si>
  <si>
    <t xml:space="preserve"> RHODORSIL FLUID 47V12,500</t>
  </si>
  <si>
    <t xml:space="preserve">NONIL FENOL  n MOLES   </t>
  </si>
  <si>
    <t xml:space="preserve">Parafina liviana </t>
  </si>
  <si>
    <t xml:space="preserve">SODA CAUSTICA LIQUIDA (TODOS LOS GRADOS) </t>
  </si>
  <si>
    <t xml:space="preserve">SOLVENTE 80/20 </t>
  </si>
  <si>
    <t xml:space="preserve">SULFATO DE SODIO ANHIDRO </t>
  </si>
  <si>
    <t xml:space="preserve">TRIETANOLAMINA </t>
  </si>
  <si>
    <t xml:space="preserve"> TRIPOLIFOSFATO DE SODIO </t>
  </si>
  <si>
    <t xml:space="preserve">Ultraclean VK3 </t>
  </si>
  <si>
    <t xml:space="preserve"> Ultrasolve </t>
  </si>
  <si>
    <t xml:space="preserve">UREA SOLIDA </t>
  </si>
  <si>
    <t>ACIDO SULFONICO LINEAL</t>
  </si>
  <si>
    <t>Castrol Act&gt;Evo 4T 20W-50</t>
  </si>
  <si>
    <t>braight stock (BST)</t>
  </si>
  <si>
    <t xml:space="preserve">TARTRAZINA NOVACOLOR </t>
  </si>
  <si>
    <t>Shell Advance SX 2</t>
  </si>
  <si>
    <t xml:space="preserve">Shell Advance VSX 2 (FC/EGD) </t>
  </si>
  <si>
    <t>Helix HX3 50</t>
  </si>
  <si>
    <t>Helix HX7 10W-40</t>
  </si>
  <si>
    <t>Shell Tellus S2 MX 46</t>
  </si>
  <si>
    <t xml:space="preserve">Shell Tellus S2 MX 32 </t>
  </si>
  <si>
    <t>Shell Tellus S2 MX 68</t>
  </si>
  <si>
    <t>Shell Spirax S2 A 140</t>
  </si>
  <si>
    <t>Helix Ultra 5W-30</t>
  </si>
  <si>
    <t>FormulaShell SAE 20W-50 Motor Oil</t>
  </si>
  <si>
    <t xml:space="preserve">Advance 4T Ultra 10W-40 (SN/MA2) </t>
  </si>
  <si>
    <t>Helix HX5 SN 20W-50</t>
  </si>
  <si>
    <t>Advance 4T AX7 10W-40 (SM/MA2)</t>
  </si>
  <si>
    <t xml:space="preserve">Ursa HD SAE 15W-40 </t>
  </si>
  <si>
    <t>Havoline Gas Motor Oil SAE 20W-50</t>
  </si>
  <si>
    <t>Havoline Motor Oil SAE 10W-30</t>
  </si>
  <si>
    <t>Chevron Gear Oil GL-1 SAE 140</t>
  </si>
  <si>
    <t>Havoline Motor Oil SAE 40 API SF</t>
  </si>
  <si>
    <t>Ursa HD SAE 40</t>
  </si>
  <si>
    <t>Ursa HD SAE 50</t>
  </si>
  <si>
    <t>Havoline Motor Oil SAE 50 API SF</t>
  </si>
  <si>
    <t>Rando HD 32, 46, 68</t>
  </si>
  <si>
    <t>Havoline Motorcycle Oil 4T SAE 10W-30,10W-40,20W-50 API SL</t>
  </si>
  <si>
    <t>Havoline Motorcycle Xtended Life Coolant - Premixed 50/50</t>
  </si>
  <si>
    <t>GEAR 300 75W90</t>
  </si>
  <si>
    <t>SHELL ULT 4T SINT10W40</t>
  </si>
  <si>
    <t xml:space="preserve">Antioxidante Natural </t>
  </si>
  <si>
    <t xml:space="preserve">CLORURO DE BENZALCONIO </t>
  </si>
  <si>
    <t>HiTEC® 12200 PerformanceAdditive</t>
  </si>
  <si>
    <t>Fragancia lavanda</t>
  </si>
  <si>
    <t xml:space="preserve">DESTILADO PESADO </t>
  </si>
  <si>
    <t xml:space="preserve">Naftecnia media </t>
  </si>
  <si>
    <t>Naftecnia pesada</t>
  </si>
  <si>
    <t>Mergal 758</t>
  </si>
  <si>
    <t>RHODORSIL ACEITE 47 V 1000</t>
  </si>
  <si>
    <t>RHODORSIL ACEITE 47 V 12500</t>
  </si>
  <si>
    <t>HiTEC® 152 Performance Additive</t>
  </si>
  <si>
    <t>HiTEC® 2235 Performance Additive</t>
  </si>
  <si>
    <t>HiTEC® 3421 Performance Additive</t>
  </si>
  <si>
    <t>HiTEC® 9595 Performance Additive</t>
  </si>
  <si>
    <t>Fragancia fresa silicona(Fresa amarrilla)</t>
  </si>
  <si>
    <t>Isómeros del Xilol</t>
  </si>
  <si>
    <t>Cicloexanona al 98.4%</t>
  </si>
  <si>
    <t>Aceite mineral
Alcohol alquilico de cadena larga</t>
  </si>
  <si>
    <t xml:space="preserve">Dialquilditiofosfatos de zinc 
Alkyl phenol 
Aceite mineral 
Alkaryl amine 
Calcium alkaryl sulfonate
Calcium long-chain alkylphenate sulfide 
Phenol, 4-dodecyl
Poly(oxyalkylene) alkyl ether </t>
  </si>
  <si>
    <t>aceite mineral
Dialquilditiofosfato de zinc
Sulfonato de alcarilo de cadena larga de calcio l
Alkaryl amine
Sulfato de alcarilfenato de cadena larga de calcio
Fenol, 4 - dodecil -
Alcohol alquílico de cadena larga alcoxilado
Sulfonato de alcarilo de cadena larga de calcio ll</t>
  </si>
  <si>
    <t>aceite mineral
Alcaril sulfonato de cadena larga de calcio
Sulfuro de alquilfenato de cadena larga de calcio
Alcaril sulfonato de cadena larga de calcio
Alcaril amina
Fenol, 4-dodecil-
Alcohol alquílico de cadena larga alcoxilado
Dialquilditiofosfato de zinc</t>
  </si>
  <si>
    <t>Destilados de petróleo
Acrilato de 2 - etilhexilo
2-propenoico, éster etílico</t>
  </si>
  <si>
    <t>aceite mineral
Sulfonato de alcarilo de cadena larga de calcio l
Sulfonato de alcarilo de cadena larga de calcio ll
Alquil fenol</t>
  </si>
  <si>
    <t xml:space="preserve">aceite mineral
Methacrylate copolymer 
Alkaryl amine 
Alkoxylated long-chain alkyl amine 
Alkyl alkoxy amine 
Long-chain alkyl dithio thiadiazole </t>
  </si>
  <si>
    <t>Aceite mineral
Dialquilditiofosfato de zinc
Alcaril amina
Organomolibdeno amida</t>
  </si>
  <si>
    <t>Alquil fenol
Olefina
Aceite mineral</t>
  </si>
  <si>
    <t>aceite mineral
Alcaril sulfonato de cadena larga de calcio
Alcaril amina
Dialquilditiofosfato de zinc
Copolímero de metacrilato
Éster alquílico de cadena larga</t>
  </si>
  <si>
    <t>aceite mineral</t>
  </si>
  <si>
    <t>Queroseno</t>
  </si>
  <si>
    <t xml:space="preserve">
Amina de alquilo de cadena larga
aceite mineral
Alquenil amina de cadena larga
Alkyl dithio thiadiazole 
Fosfato de alquilo</t>
  </si>
  <si>
    <t>Agua
Tripolifosfato 
Urea
Acido sulfonico
Ultrasolve
Ultraclean
coco amida</t>
  </si>
  <si>
    <t>Base de etilenglicol
Aditivos inhibidores de corrosión y espumación
Anticoagulante para sistemas de refrigeración</t>
  </si>
  <si>
    <t>Base de glicol
Polietilenglicol monometil borato ester
Trietilenglicol
Metilglicol eter borato ester</t>
  </si>
  <si>
    <t>Emulsión de silicona
Preservantes
Benzofenona 4</t>
  </si>
  <si>
    <t>Aceites minerales refinados del petroleo
Compuestos organometalicos
Inhibidores de oxidación
Mejoradores de indice de viscosidad
Depresores de punto de fluidez
Detergentes</t>
  </si>
  <si>
    <t>Varsol
Soda caustica
Pigmento abrasivo</t>
  </si>
  <si>
    <t>Aceites minerales refinados del petroleo
Inhibidores de oxidación
Compuestos organometalicos
Mejoradores de indice de viscosidad
Detergentes
Depresores de punto de fluidez</t>
  </si>
  <si>
    <t>Destilados 
Petroleo
Naftenico liviano Hidratado
Hidroxido de calcio
Acido graso vegetal
Antioxidante</t>
  </si>
  <si>
    <t>Isoforona al  97%</t>
  </si>
  <si>
    <t>clocloexanona al 30%
Copolimero de acetato de vinilo al 20%
Aditivos especiales al 5%
Pigmentos organicos al 10%</t>
  </si>
  <si>
    <t>Agua
Cloruro de sodio 
Tripolifosfato
Urea
Soda caustica</t>
  </si>
  <si>
    <t xml:space="preserve">.  Mezcla de Hidrocarburos Alifáticos.
</t>
  </si>
  <si>
    <t xml:space="preserve">Thiner </t>
  </si>
  <si>
    <t>Hidrocarburo Aromático
Disolvente Tipo Ester
Gas GLP
EGBE 
Disolvente Alcohol
Disolvente Clorado</t>
  </si>
  <si>
    <t>Agua desionizada
Celulosa
Polímero de metiloxirano con oxirano 
Comida de origen organico
Tetraborato disódico pentahidrato</t>
  </si>
  <si>
    <t>Aceite combustible, no. 2
Manganeso, Tricarbonil metilciclopentadienilo
Parafinas (petróleo), normales C5-C20
1,3,5-trimetilbenceno
Manganeso, Tricarbonilo (.eta.5-2,4-ciclopentadien-1-il) -
1,2,4-trimetilbenceno
Etilbencina
Xileno (isómeros mixtos)
Destilado ligero hidrotratado (petróleo)
Naftalina
Nafta solvente (petróleo), Aromas pesados</t>
  </si>
  <si>
    <t xml:space="preserve"> Aceite mineral altamente refinado (C15 - C50
 Polisulfuro de olefina 
 Éster del ácido fosfórico, sal amina</t>
  </si>
  <si>
    <t>Aceite mineral altamente refinado (C15 - C50
Destilados ligeros hidrotratados 
Succinimida de poliolefinpoliamin</t>
  </si>
  <si>
    <t>Highly refined mineral oil (C15 - C50)</t>
  </si>
  <si>
    <t>Aceite mineral altamente refinado (C15 - C50)</t>
  </si>
  <si>
    <t xml:space="preserve">Aceite mineral altamente refinado (C15 - C50
Fosfitos de alquilo 
Alquenilamina de cadena larga </t>
  </si>
  <si>
    <t>Aceite base - altamente refinado
Aceite base - altamente refinado
Ácido benzenosulfónico, derivados de mono-C16-24-alquilo, sales de calcio</t>
  </si>
  <si>
    <t xml:space="preserve">Aceite base - altamente refinado
</t>
  </si>
  <si>
    <t>DODECILBENCENO SULFÓNICO 
CARBONATO DE SODIO 
SULFATO DE SODIO 
FRAGANCIA</t>
  </si>
  <si>
    <t xml:space="preserve">Highly refined mineral oil (C15 - C50)
 Zinc dialkyldithiophosphate </t>
  </si>
  <si>
    <t>Etilenglicol
De sodio 2-etilhexanoato</t>
  </si>
  <si>
    <t xml:space="preserve">Potassium 2-ethylhexanoate </t>
  </si>
  <si>
    <t>Aceite mineral altamente refinado (C15 - C50</t>
  </si>
  <si>
    <t>aceite sintetico</t>
  </si>
  <si>
    <t xml:space="preserve">Alquilditiofosfato de cinc </t>
  </si>
  <si>
    <t xml:space="preserve"> Aceite mineral altamente refinado (C15 - C50) </t>
  </si>
  <si>
    <t xml:space="preserve">Dodecilfenol ramificado </t>
  </si>
  <si>
    <t xml:space="preserve"> Highly refined mineral oil (C15 - C50</t>
  </si>
  <si>
    <t xml:space="preserve"> Highly refined mineral oil (C15 - C50)</t>
  </si>
  <si>
    <t>Tolueno
Propano
Butano
Metanol</t>
  </si>
  <si>
    <t xml:space="preserve">Gas liquido de petroleo 
Heptano
Tolueno
Alifático de Petroleo Destilado  </t>
  </si>
  <si>
    <t>Heptano
Hidrocarburos alifáticos
Dióxido de carbono</t>
  </si>
  <si>
    <t xml:space="preserve"> Aceite mineral altamente refinado (C15 - C50) 
 Polisulfuro de olefina </t>
  </si>
  <si>
    <t xml:space="preserve"> Aceite mineral 
altamente refinado (C15 - C50)
 Sal de éster de ácido fosfórico y amina</t>
  </si>
  <si>
    <t>Hidrocarburos, C9-C11, n-alcanos, isoalcanos, cíclicos, &lt;2% de compuestos aromáticos</t>
  </si>
  <si>
    <t xml:space="preserve">Poliol, Polioleofina poliamina succinamida 
Largas cadenas de Alquil-sulfonato de calcio 
Polioleofina poliamina succinamida </t>
  </si>
  <si>
    <t>Plomo
Ácido sulfúrico
1-propene homopolymer 
Amorfo/ Silicio fundido
Cloruro de polivinilo 
Cobre
Acero
Estaño
Policarbonato</t>
  </si>
  <si>
    <t>Acido sulfurico</t>
  </si>
  <si>
    <t>Agua destilada</t>
  </si>
  <si>
    <t xml:space="preserve">Destilados Ligeros del Petróleo
Aditivos Varios </t>
  </si>
  <si>
    <t>Hidrocarburo Alifático
Disolvente Alifático
Hidrocarburo Parafínico
Aceite Epoxidado
Inhibidor de Corrosión
Esencia
Gas Licuado</t>
  </si>
  <si>
    <t xml:space="preserve">Hidrocarburo Alifático </t>
  </si>
  <si>
    <t xml:space="preserve">Destilado de Petróleo
Cera
Compuesto Teflón
Polvo Abrasivo
Aceite de Silicona
Emulsión Acrílica Estirenada
Aditivo Silicona
Ácidos Grasos
Aditivo Antiespumante 
Amina
Microbicida
Glicerina
Tinte Color </t>
  </si>
  <si>
    <t>Destilado de Petróleo
Resina
Lubricante Molibdeno
Propano – Butano</t>
  </si>
  <si>
    <t>Hidrocarburo Liviano
Hidrocarburo Alifático
Gas A70</t>
  </si>
  <si>
    <t xml:space="preserve">Aceite de motor </t>
  </si>
  <si>
    <t>TETRAPROPENIL FENOL
DITIOFOSFATO DE ZINC</t>
  </si>
  <si>
    <t xml:space="preserve">COMPLEJO DE ORGANO MOLI-AZUFRE
DITIOFOSFATO ALQUIÍLICO DE CINC </t>
  </si>
  <si>
    <t>COMPLEJO DE ORGANO MOLI-AZUFRE 
DITIOFOSFATO ALQUIÍLICO DE CINC</t>
  </si>
  <si>
    <t xml:space="preserve">ÁCIDO FOSFORODITIOICO, MEZCLA DE 0,0 BIS (1,3 DIMETILBUTIL E ISOPROPIL) ESTERES, SALES DE ZINC </t>
  </si>
  <si>
    <t>ALQUIL DITIOFOSFATO DE ZINC</t>
  </si>
  <si>
    <t>ALQUINIL AMINA DE CADENA LARGA
SULFURO DE OLEFINA
ESTERES DE ÁCIDO FOSFÓRICO, SAL AMINA</t>
  </si>
  <si>
    <t xml:space="preserve">ALQUINIL AMINA DE CADENA LARGA
SULFURO DE OLEFINA
ESTERES DE ÁCIDO FOSFÓRICO, SAL AMINA
Destilados (petróleo), parafínicos pesados hidrotratados 
Destilados (Petróleo), disolvente desparafinado pesado parafínico </t>
  </si>
  <si>
    <t>2-Metilpentano-2,4-diol
Polyoxyl 10 Oleyl Ether</t>
  </si>
  <si>
    <t>Aceite de base mineral parafinica</t>
  </si>
  <si>
    <t xml:space="preserve">Etilen Glicol Monobutil Èter </t>
  </si>
  <si>
    <t>Hidrocarburos, C10-C13, n-alcanos, isoalcanos, ciclicos, aromaticos (2-25 %)
Decan-1-ol, etoxilado (8 EO)
Decan-1-ol, etoxilado (3 EO)</t>
  </si>
  <si>
    <t xml:space="preserve">NIVELADOR DE PH
RESINA ACRILICA 
CARGAS INERTES </t>
  </si>
  <si>
    <t>Base mineral refinada tipo III</t>
  </si>
  <si>
    <t>Base sintética</t>
  </si>
  <si>
    <t>Dimetilbenceno
Acetona
Mibk
Alcohol metílico
Propanol</t>
  </si>
  <si>
    <t>Aceite base - altamente refinado
Pétrole naphta</t>
  </si>
  <si>
    <t>Fuels, diesel, no. 2
Zinc dialkyldithiophosphate</t>
  </si>
  <si>
    <t>Alquilditiofosfato de zinc
Polisulfuros, di-tert-Bu
Dialquilditiofosfato de zinc
Alquilditiofosfato de zinc
Ésteres de ácido fosfórico / sal de amina
Xileno</t>
  </si>
  <si>
    <t>Combustibles, motor diesel, número 2
Nafta disolvente (petróleo), fracción aromática ligera
1,2,4-Trimetilbenceno
Naftaleno</t>
  </si>
  <si>
    <t>Fenol alquilado
Diphenylamine
Destilado parafínico pesado severamente hidrotratado
Destilado parafínico pesado desparafinado con solvente
Alquilditiofosfato de zinc</t>
  </si>
  <si>
    <t xml:space="preserve">Sulfuro de Calcio de Cadena Larga </t>
  </si>
  <si>
    <t xml:space="preserve">Destilados (petróleo), fracción parafínica pesada con disolvente
Destilados (petróleo), fracción parafínica ligera refinada con disolvente 
O,O-di-C1-C14-alquil ésteres del ácido fósforoditioico, sales de zinc </t>
  </si>
  <si>
    <t>Aceite mineral altamente refinado (C15 - C50)
Éster boratado de ácido alquenoico
 Alquilditiofosfato de cinc</t>
  </si>
  <si>
    <t>Nafta tratada con hidrógeno, de bajo punto de ebullición 
Aceite base - altamente refinado</t>
  </si>
  <si>
    <t>Aceite base altamente refinado</t>
  </si>
  <si>
    <t>QUEROSINA (PETRÓLEO); QUEROSENO DE DESTILACIÓN DIRECTA</t>
  </si>
  <si>
    <t xml:space="preserve">Base lubricante ligeramente hidro-tratada de naftas destiladas 
Base lubricante altamente hidro-tratada de naftas destiladas 
Base de lubricación  (incluyen aditivos de extrema presión) 
Otras bases no lubricantes incluyendo polímeros adherentes </t>
  </si>
  <si>
    <t>Poliolefina succinimida poliamina, poliol
Alquilditiofosfatos de Zinc
Alkaril sulfonato de calcio de cadena larga
Polialquilarilamina</t>
  </si>
  <si>
    <t>aceites lubricantes (petróleo), C20-50, basados en aceite neutro tratado con hidrógeno</t>
  </si>
  <si>
    <t>Destilados (petróleo), fracción nafténica pesada tratada con hidrógeno</t>
  </si>
  <si>
    <t>DISOLVENTE No 4
PARAFINA</t>
  </si>
  <si>
    <t>FALTA DE INFORMACION</t>
  </si>
  <si>
    <t>ACEITES LUBRICANTES (PETRÓLEO), C20-50, HIDROTRATADOS A BASE DE ACEITE NEUTRO
(Z) -OCTADEC-9-ENILAMINA
DESTILADOS (PETRÓLEO), PARAFINICOS PESADOS HIDROTREADOS
2,6-DI-TERT-BUTYLPHENOL 
ÁCIDO OLÉICO, COMPUESTO CON (Z) -AND-OCTADEC-9-ENYL PROPAN-1,3 -DIAMINE</t>
  </si>
  <si>
    <t>(Z) -OCTADEC-9-ENILAMINA
2,6-DI-TERT-BUTYLPHENOL
ÁCIDO OLÉICO, COMPUESTO CON (Z) -N-OCTADEC-9-ENYLPROPANE-1,3 -DIAMINE.</t>
  </si>
  <si>
    <t>Aceite base - altamente refinado</t>
  </si>
  <si>
    <t>Destilados (petróleo), fracción parafínica pesada desparafinada con disolvente
 Hidróxido de litio, monohidrato</t>
  </si>
  <si>
    <t xml:space="preserve">Aceite mineral altamente refinado (C15 - C50)
Dialquilditiofosfato de zinc
Sulfuro de olefina 
Éster del ácido fosfórico, sal de amina </t>
  </si>
  <si>
    <t xml:space="preserve">Aceite base - altamente refinado 
destilados (petróleo), fracción parafínica pesada tratada con hidrógeno </t>
  </si>
  <si>
    <t>Parafinas (petróleo), normales C5-C20
Aceite combustible, no.2
Naftalina
Xileno (isómeros mixtos)
Etilbencina
Destilado ligero hidrotratado (petróleo)</t>
  </si>
  <si>
    <t xml:space="preserve">TOLUENO 
CICLOHEXANO
ETILO ACETATO 
Xileno (mezcla de isómeros) 
Escamas de aluminio, ALUMINIO
ETILBENCENO (COMPONENTE DE XILENO COMERCIAL) 
PROPANO 
BUTANO </t>
  </si>
  <si>
    <t xml:space="preserve">combinación de compuestos sólidos </t>
  </si>
  <si>
    <t xml:space="preserve"> mezclasde bases lubricantes derivadas del petróleo 
combinación de bases lubricantes y agentes espesantes </t>
  </si>
  <si>
    <t>Dec-1-eno, homopolímero, Dec-1-eno hidrogenado, oligomeros, hidrogenado
Aceites de parafina (petróleo), sin cera, ligeros
SUCCINIMIDA DE POLIAMINA POLIOLEFÍNICA
BIS(O,O-DIISOOCTIL)BIS(DITIOFOSFATO) DE CINC</t>
  </si>
  <si>
    <t>COMPLEJO DE ORGANO MOLI-AZUFRE
DITIOFOSFATO ALQUIÍLICO DE CINC</t>
  </si>
  <si>
    <t xml:space="preserve">Sustancia(s) o Sustancia(s) Compleja(s) no reportable como peligrosa(s). </t>
  </si>
  <si>
    <t>Dec-1-eno, homopolímero, Dec-1-eno hidrogenado, oligomeros, hidrogenado
Destilados (petróleo), parafínicos pesados hidrotratados
ALCOHOLES ETOXILADOS DE CADENA LARGA
Destilados (Petróleo), disolventedesparafinado pesado parafínico
Destilados (petróleo), disolvente refinado parafínico ligero
FENOL DE TETRAPROPENIL
DITIOFOSFATO ALQUIÍLICO DE CINC</t>
  </si>
  <si>
    <t xml:space="preserve">ALQUIL DITIOFOSFATO DE ZINC </t>
  </si>
  <si>
    <t xml:space="preserve"> POLIALQUIL METACRILATO </t>
  </si>
  <si>
    <t>C14-16-18 ALQUILO PHENOL 
Destilados (petróleo), parafínicos pesados hidrotratados
DITIOFOSFATO ALQUIÍLICO DE CINC</t>
  </si>
  <si>
    <t xml:space="preserve"> DESTILADOS (PETRÓLEO), LIVIANO HIDROTRATADO</t>
  </si>
  <si>
    <t xml:space="preserve"> KEROSENE </t>
  </si>
  <si>
    <t>2-PENTANOLO, 4-METIL, FOSFORODITIOATO DE HIDROGENO, SAL DE ZINC 
BENCENOAMINA, AR-NONIL-N-(NONIL FENIL)-
Destilados (petróleo), parafínicos pesados hidrotratados 
Destilados (Petróleo), disolvente- desparafinado pesado parafínico 
DITIOFOSFATO ALQUIÍLICO DE CINC</t>
  </si>
  <si>
    <t xml:space="preserve">DESTILADO MEDIO HIDROTRATADO (PETRÓLEO
ALQUIL DITIOFOSFATO DE ZINC </t>
  </si>
  <si>
    <t xml:space="preserve">DIALQUIL DITIOFOSFATO DE ZINC </t>
  </si>
  <si>
    <t xml:space="preserve">ALQUIL FENOL 
COMPLEJO DE  DITIOCARBAMIDA MOLIBDENO </t>
  </si>
  <si>
    <t xml:space="preserve"> DESTILADOS PARAFINICOS LIVIANOS HIDROTRATADOS, PETROLEO
 TETRAPROPENIL FENOL
ALCARIL DITIOFOSFATO DE ZINC </t>
  </si>
  <si>
    <t>ALQUENIL AMINA DE CADENA LARGA
SULFURO DE OLEFINA
ÉSTERES DE ÁCIDO FOSFÓRICO, SAL DE AMINA
Destilados (petróleo), parafínicos pesados hidrotratados
Destilados (Petróleo), disolventedesparafinado pesado parafínico</t>
  </si>
  <si>
    <t xml:space="preserve">SULFURO DE OLEFINA </t>
  </si>
  <si>
    <t>HIDROCARBUROS, C15-C20, N-ALKANES, ISOALKANES, CYCLICS, &lt;0.03% AROMATICS
ACEITE MINERAL
FENOL BUTILADO, ANIMADO</t>
  </si>
  <si>
    <t xml:space="preserve">DESTILADOS (PETRÓLEO), FRACCIÓN PARAFÍNICA PESADA TRATADA CON HIDRÓGENO 
DISTILLATES (PETROLEUM), HYDROTREATED LIGHT PARAFFINIC 
DISTILLATES (PETROLEUM), HYDROTREATED HEAVY PARAFFINIC 
HYDROCARBONS, C15-C20,N-ALKANES, ISOALKANES, CYCLICS, &lt; 0.03% AROMATICS 
MINERAL OIL </t>
  </si>
  <si>
    <t>ACEITES LUBRICANTES (PETRÓLEO), C20-50, BASE DE ACEITE NEUTRO HIDROTREADO</t>
  </si>
  <si>
    <t>RESIDUAL OILS (PETROLEUM), SOLVENT-DEWAXED 
THIADIAZOLE SUSTITUIDO
ALQUILO DE AMINA</t>
  </si>
  <si>
    <t xml:space="preserve">SUCCINIMIDA POLIAMINA POLIOLEFINA
2,6-DI-TERT-BUTYLPHENOL 
LONG CHAIN ALKARYL SULFONATE CALCIUM
BRANCHED ALKYLPHENOL AND ALKYLPHENOL CALCIUM BRANCHED </t>
  </si>
  <si>
    <t>DESTILADOS (PETRÓLEO), PARAFINICOS PESADOS HIDROTREADOS
AMINAS, POLIETILENEPOLIO-, PRODUCTOS DE REACCION CON 1,3-DIOXOLAN-2-UNO Y MONOPOLIISOBUTENILO DE ANHIDRATO SUCCINICO
SULFONATO DE CALCIO</t>
  </si>
  <si>
    <t>ACEITES LUBRICANTES (PETRÓLEO), C20-50, HIDROTRATADOS A BASE DE ACEITE NEUTRO</t>
  </si>
  <si>
    <t>ACEITES LUBRICANTES (PETRÓLEO), C20-50, HIDROTRATADOS A BASE DE ACEITE NEUTRO
SULFONATO DE ALKARYL DE CADENA LARGA DE CALCIO
POLIAMEFINA POLIAMINA
ALKARYL AMINE
DESTILADOS (PETRÓLEO), PARAFINICOS PESADOS HIDROTREADOS
SULFONATO DE ALKARYL DE CADENA LARGA DE CALCIO</t>
  </si>
  <si>
    <t>ACEITES LUBRICANTES (PETRÓLEO), C20-50, HIDROTRATADOS A BASE DE ACEITE NEUTRO
ALQUILTIFOSFITO</t>
  </si>
  <si>
    <t>BUTANO
PENTANO
HIDROCARBUROS, C9-C10 N-ALKANES, ISOALKANES, CYCLICS, &lt;2% AROMATICS.</t>
  </si>
  <si>
    <t>BUTANO
PENTANO
HIDROCARBUROS, C9-C10 N-ALKANES, ISOALKANES, CYCLICS, &lt;2% AROMATICS.
(Z) -OCTADEC-9-ENILAMINA</t>
  </si>
  <si>
    <t xml:space="preserve">ACEITES LUBRICANTES (PETRÓLEO), C20-50, HIDROTRATADOS A BASE DE ACEITE NEUTRO
ACEITE MINERAL
DISTILLATES (PETROLEUM), HYDROTREATED LIGHT PARAFFINIC 
ACETAMIDE, 2-HYDROXY-, N,N-DICOCO ALKYL DERIVS </t>
  </si>
  <si>
    <t>ACEITES LUBRICANTES (PETRÓLEO), C20-50, HIDROTRATADOS A BASE DE ACEITE NEUTRO
4,4'-THIODIETHYLENE HYDROGEN -2-OCTADECENYLSUCCINATE
ACEITE MINERAL
ÁCIDO ISO-OCTADECANOICO, PRODUCTOS DE REACCIÓN CON TETRAETILENEPENTAMINA
DESTILADOS (PETRÓLEO), PARAFINICOS PESADOS HIDROTREADOS
PRODUCTO DE REACCIÓN DE ALQUILTIIOALCOHOL Y COMPUESTO DE FÓSFORO SUSTITUIDO</t>
  </si>
  <si>
    <t>HIDROCARBUROS, C10-C13, EUH: 066 N-ALKANES, ISOALKANES, CYCLICS, &lt;2% AROMATICS
BUTANo
DESTILABA PARAFINIQUES DE LOURDS (PETRÓLEO), DEPARAFFINES AU SOLVANT
Z) -N-metil-N- (1-oxo-9-octadecenil) glicina
ÁCIDOS SULFÓNICOS, PETRÓLEO, SALES DE CALCIO, SOBREBASO
4,5-DIHIDRO-2-HEPTADECIL-1H-IMI DAZOL-1-ETILAMINA</t>
  </si>
  <si>
    <t>Hidrotratado, aceite lubricante de petr óleo,a base de petróleo
Destilados de petróleo parafínico pesado 
Orgánica, arcilla
Sulfurizado, aceite de manteca 
Cristobalita
Cuarzo</t>
  </si>
  <si>
    <t>2,6-DITERCBUTIL FENOL 
CINC, BIS[O,O-BIS(2ETILHEXIL)FOSFORODITIOATO-KS,KS']-, (T-4)</t>
  </si>
  <si>
    <t>Destilados (petróleo) hidrotratados ligeros
Fenol dodecilo ramificado</t>
  </si>
  <si>
    <t>Destilados (petróleo), hidrodesulfurados intermedios
Fenol dodecilo ramificado</t>
  </si>
  <si>
    <t xml:space="preserve">Alcarilsulfonato de cadena larga de calcio 
Aceite base intercambiable de baja viscosidad (&lt;20,5 mm²/s a 40°C) * </t>
  </si>
  <si>
    <t xml:space="preserve">Poliolefina poliamina succinimida poliol
Sulfonato alcarílico de calcio </t>
  </si>
  <si>
    <t xml:space="preserve">Polisulfuro de alquilo
Aceite base intercambiable de baja viscosidad (&lt;20,5 mm²/s a 40°C) * </t>
  </si>
  <si>
    <t>Polisulfuro de alquilo</t>
  </si>
  <si>
    <t xml:space="preserve">Fenato de calcio sulfurado
Dialquil ditiofosfato de zinc 
Aceite base intercambiable de baja viscosidad (&lt;20,5 mm²/s a 40°C) * </t>
  </si>
  <si>
    <t>Aceite Mineral Refinado del Petróleo 
Aditivos, compuestos organometálicos</t>
  </si>
  <si>
    <t>DESTILADOS (PETRÓLEO), PARAFINICOS PESADOS HIDROTREADOS
HIDROTREADO
DESTILADOS (PETRÓLEO), PARAFINICOS PESADOS DESCONGADOS CON DISOLVENTE
ALQUIL AMINA DE CADENA LARGA</t>
  </si>
  <si>
    <t xml:space="preserve">DESTILADOS (PETRÓLEO), FRACCIÓN PARAFÍNICA PESADA TRATADA CON HIDRÓGENO 
ACEITES LUBRICANTES (PETRÓLEO), C20-50, HIDROTRATADOS A BASE DE ACEITE NEUTRO
PRODUCTOS DE REACCIÓN DE AMINAS, POLIETILENOPOLIA, CON 1,3-DIOXOLAN-2-UNO Y DERIVADOS DE MONOPOLIISOBUTENIL DE ANHÍDRIDO SUCCÍNICO.
DESTILADOS (PETRÓLEO), PARAFINICOS PESADOS HIDROTREADOS
DESTILADOS (PETRÓLEO), PARAFINICOS LIGEROS HIDRATADOS
PHOSPHORODITHIOIC ACID, MIXED O,O-BIS(SEC-BU AND 1,3-DIMETHYLBUTYL) ESTERS, ZINC SALTS
SULFONATO DE ALQUILILO CON CADENA LARGA DE CALCIO
SULFONATO DE CALCIO </t>
  </si>
  <si>
    <t xml:space="preserve">ALKYLATED PHENOL 
DIPHENYLAMINE 
SEVERELY HYDROTEATED HEAVY PARAFFINIC DISTILLATE 
SOLVENT DEWAXED HEAVY PARAFFINIC DISTILLATE 
ZINC ALKYDITHOPHOSPHATE </t>
  </si>
  <si>
    <t xml:space="preserve">Solvente Refinado Liviano
Solvente Refinado Pesado
Pesados Hidrotratados  
Ácido Fosforoditioico 
Disolvente Refinado Liviano 
Disolvente Refinado Pesado 
Pesados Hidrotratados </t>
  </si>
  <si>
    <t>Nafta tratada con hidrógeno, de bajo punto de ebullición
Aceite base - altamente refinado</t>
  </si>
  <si>
    <t xml:space="preserve"> Aceite mineral altamente refinado (C15 - C50)
Dialquilditiofosfato de cinc 
 Éster del ácido fosfórico, sal amina </t>
  </si>
  <si>
    <t xml:space="preserve">QUEROSINA (PETRÓLEO); QUEROSENO DE DESTILACIÓN DIRECTA </t>
  </si>
  <si>
    <t xml:space="preserve">Mezcla de aceites minerales y aditivos usadòs </t>
  </si>
  <si>
    <t>etanol</t>
  </si>
  <si>
    <t xml:space="preserve">Benzoato de sodio </t>
  </si>
  <si>
    <t xml:space="preserve">Biocida
Agua  </t>
  </si>
  <si>
    <t>Cloruro de sodio</t>
  </si>
  <si>
    <t>Keroseno</t>
  </si>
  <si>
    <t>Polyethylenglicol monometil borato ester</t>
  </si>
  <si>
    <t>POLY (dimetil siloxano</t>
  </si>
  <si>
    <t xml:space="preserve">NONIL FENOL (Mezcla de Isómeros) </t>
  </si>
  <si>
    <t xml:space="preserve">HIDROXIDO DE SODIO </t>
  </si>
  <si>
    <t>Alcohol isopropílico
Acetato de n-propilo</t>
  </si>
  <si>
    <t>SULFATO DE SODIO ANHIDRO</t>
  </si>
  <si>
    <t>Trietanolamina</t>
  </si>
  <si>
    <t xml:space="preserve">Trifosfato pentasódico </t>
  </si>
  <si>
    <t>(2-metoximetiletoxi)propanol 
alcohol alquílico etoxilato 
Cumenesulfonato de sodio
hidróxido sódico</t>
  </si>
  <si>
    <t xml:space="preserve">Ciclohexano
Propan-2-ol 
1-Metoxi-2-propanol 
Hidrocarburos, C7, n-alcanos, isoalcanos, cíclicos
2-Metoxipropanol </t>
  </si>
  <si>
    <t>Urea</t>
  </si>
  <si>
    <t>Acido sulfurico
Alquilbenceno
ácido alquilbencenosulfónico</t>
  </si>
  <si>
    <t xml:space="preserve">Aceite base - altamente refinado </t>
  </si>
  <si>
    <t>Destilados (petróleo), fracción ligera tratada con hidrógeno
Aceite base intercambiable de baja viscosidad</t>
  </si>
  <si>
    <t>Destilados (petróleo), fracción ligera tratada con hidrógeno</t>
  </si>
  <si>
    <t>Aceite base intercambiable de baja viscosidad</t>
  </si>
  <si>
    <t>Dialquilditiofosfato de zinc
Alcaril amina
Aceite base intercambiable de baja viscosidad</t>
  </si>
  <si>
    <t>Polisulfuro de alquilo
Alquenilamina
Aceite base intercambiable de baja viscosidad</t>
  </si>
  <si>
    <t>Dialquilditiofosfato de zinc
Destilados (Fischer -Tropsch), pesados, C18-50 - ramificados, cíclicos y lineales
Alcaril amina</t>
  </si>
  <si>
    <t>Poliolefina Amida Alqueno Amina Poliol
Alcaril amina
Aceite base intercambiable de baja viscosidad</t>
  </si>
  <si>
    <t>Poliolefina poliamina succinimida poliol
Alcaril amina
Poliolefina amida alquenamina borato
Aceite base intercambiable de baja viscosidad</t>
  </si>
  <si>
    <t>Poliolefina poliamina succinimida poliol
Alcaril amina
Aceite base intercambiable de baja viscosidad</t>
  </si>
  <si>
    <t>Poliolefina Amida Alqueneamina Poliol
Alcaril amina
Poliolefina amida alqueno amina borato
Aceite base intercambiable de baja viscosidad</t>
  </si>
  <si>
    <t xml:space="preserve">Aceite mineral altamente refinado (C15 - C50)
Polímero de hidrocarburo 
Alquil-ditiofosfato de zinc 
Fenol alquilado </t>
  </si>
  <si>
    <t xml:space="preserve">Aceite mineral altamente refinado (C15 - C50) </t>
  </si>
  <si>
    <t>Etilenglicol
2-etilhexanoato de potasio</t>
  </si>
  <si>
    <t>HIDROGENADO
SOLFURO DI OLEFINE 
ALQUILO DE AMINA
ACEITE MINERAL</t>
  </si>
  <si>
    <t>Alquilfenol
ALQUILO DE AMINA
Bajo intercambiable aceite base de viscosidad</t>
  </si>
  <si>
    <t>Aceite mineral 
Poliolefina amida alkenamina
Dialquilditiofosfatos de zinc 
Sulfuro de alquilfenato de cadena larga de calcio
Alcaril amina
Fenol, 4-dodecil-</t>
  </si>
  <si>
    <t>Multicomponente
Dypropylene glycol</t>
  </si>
  <si>
    <t>1,2 benzisothiazolin-3-one
5-chloro-2-methyl-4-isothiazolin-3-one
2-methyl-4-isothiazolin-3-one</t>
  </si>
  <si>
    <t xml:space="preserve">Siloxanes and Silicones, di-Me </t>
  </si>
  <si>
    <t xml:space="preserve">Aceite mineral </t>
  </si>
  <si>
    <t xml:space="preserve">Aceite mineral 
Alkyl phenol
Calcium long-chain alkaryl sulfonate
Calcium long-chain alkyl phenate sulfide 
Phenol, (tetrapropenyl) derivs </t>
  </si>
  <si>
    <t xml:space="preserve">Aceite mineral 
Methacrylate copolymer 
Alkoxy sulfolane 
Alkaryl amine 
Alkoxylated long-chain alkyl amine 
Long-chain alkenyl imidazoline alkanol </t>
  </si>
  <si>
    <t xml:space="preserve">Aceite mineral
Alkaryl amine
Polyolefin amide alkenamine 
Dialquilditiofosfatos de zinc
Long-chain alkyl ester </t>
  </si>
  <si>
    <t xml:space="preserve">Multicomponente
isopropyl myristate </t>
  </si>
  <si>
    <t>1330-20-7</t>
  </si>
  <si>
    <t>108-94-1</t>
  </si>
  <si>
    <t xml:space="preserve">68649-42-3 
128-39-2 
Mezcla 
36878-20-3 
57855-77-3
122384-87-6 
104-43-8
Propietario </t>
  </si>
  <si>
    <t xml:space="preserve">Mezcla 
Propietario
104-43-8 </t>
  </si>
  <si>
    <t xml:space="preserve">Mezcla
Propietario 
Propietario 
Propietario 
Propietario 
 104-43-8 
Propietario 
Propietario </t>
  </si>
  <si>
    <t xml:space="preserve">Propietario 
Propietario 
103-11-7 </t>
  </si>
  <si>
    <t>Mezcla</t>
  </si>
  <si>
    <t xml:space="preserve">Mezcla 
Propietario 
36878-20-3 
Propietario 
Propietario 
Propietario </t>
  </si>
  <si>
    <t xml:space="preserve">Mezcla 
68649-42-3 
Propietario 
Propietario </t>
  </si>
  <si>
    <t xml:space="preserve">Propietario 
Propietario 
Propietario </t>
  </si>
  <si>
    <t xml:space="preserve">Mezcla 
Propietario 
Propietario 
68649-42-3 
Propietario 
Propietario </t>
  </si>
  <si>
    <t xml:space="preserve">Mezcla </t>
  </si>
  <si>
    <t>8008-20-6</t>
  </si>
  <si>
    <t xml:space="preserve">68955-53-3 
Mezcla 
112-90-3 
89347-09-1 
3138-42-9 </t>
  </si>
  <si>
    <t>57-13-6</t>
  </si>
  <si>
    <t xml:space="preserve">Propietario </t>
  </si>
  <si>
    <t xml:space="preserve">107-21-1
Propietario 
112-27-6
Propietario </t>
  </si>
  <si>
    <t xml:space="preserve">Propietario 
119-61-9
Propietario </t>
  </si>
  <si>
    <t xml:space="preserve">Mezcla 
1310-73-2
Propietario </t>
  </si>
  <si>
    <t xml:space="preserve">Propietario 
64742-48-9
Propietario
1305-62-0
Propietario 
Propietario </t>
  </si>
  <si>
    <t>78-59-1</t>
  </si>
  <si>
    <t xml:space="preserve">108-94-1 </t>
  </si>
  <si>
    <t>n/a
7647-14-5​
57-13-6
n/a
1310-73-2</t>
  </si>
  <si>
    <t xml:space="preserve">8032-32-4( n hexano 110-54-3) </t>
  </si>
  <si>
    <t>108-38-3
79-20-9
74-98-6
111-76-2
67-56-1
79-01-6</t>
  </si>
  <si>
    <t>7732-18-5
1330-43-4</t>
  </si>
  <si>
    <t>68476-30-2
12108-13-3
64771-72-8
108-67-8
12079-65-1
95-63-6
100-41-4
1330-20-7
64742-47-8
91-20-3
64742-94-5</t>
  </si>
  <si>
    <t>mezcla
Secreto 
Mezcla</t>
  </si>
  <si>
    <t>mezcla
 64742-47-8 
 Secreto industrial</t>
  </si>
  <si>
    <t>mezcla</t>
  </si>
  <si>
    <t>mezcla
Alquenilamina de cadena larga 
Secreto comercial</t>
  </si>
  <si>
    <t>Varía 
Varía 
70024-69-0</t>
  </si>
  <si>
    <t xml:space="preserve">Varía 
</t>
  </si>
  <si>
    <t>27176-87-0 
497-19-8 
7757-82-6 
ND</t>
  </si>
  <si>
    <t xml:space="preserve"> Mixture 
 68649-42-3 </t>
  </si>
  <si>
    <t>107-21-1
19766-89-3</t>
  </si>
  <si>
    <t xml:space="preserve"> 3164-85-0 </t>
  </si>
  <si>
    <t>68649-42-3</t>
  </si>
  <si>
    <t xml:space="preserve"> 121158-58-5 </t>
  </si>
  <si>
    <t>Mixture</t>
  </si>
  <si>
    <t xml:space="preserve">108-88-3
74-98-6
106-97-8
67-56-1 </t>
  </si>
  <si>
    <t>68476-86-8 
 142-82-5 
 108-88-3 
64742-47-8</t>
  </si>
  <si>
    <t>142-82-5
64741-66-8
124-38-9</t>
  </si>
  <si>
    <t>Mezcla
Secreto
Mezcla</t>
  </si>
  <si>
    <t>7439-92-1
7440-50-8
7664-93-9
9003-07-0 
60676-86-0
9002-86-2 
27440-31-5</t>
  </si>
  <si>
    <t xml:space="preserve">7664-93-9 </t>
  </si>
  <si>
    <t>7732-18-5</t>
  </si>
  <si>
    <t xml:space="preserve"> 64742-47-8 
mezcla </t>
  </si>
  <si>
    <t>64742-47-8
8032-32-4
8/07/8013
74-98-6</t>
  </si>
  <si>
    <t>64742-47-8</t>
  </si>
  <si>
    <t>64742-47-8 
68476-03-9
66402-68-4
9016-00-6
61790-12-3
110-91-8
26172-55-4
56-81-5</t>
  </si>
  <si>
    <t>64742-48-9
----
----
74-98-6</t>
  </si>
  <si>
    <t xml:space="preserve">109-66-0 
64742-49-0
74-98-6 </t>
  </si>
  <si>
    <t>121158-58-5 
68649-42-3</t>
  </si>
  <si>
    <t xml:space="preserve">93819-94-4 </t>
  </si>
  <si>
    <t>84605-29-8</t>
  </si>
  <si>
    <t>113706-15-3</t>
  </si>
  <si>
    <t>112-90-3 
CONFIDENCIAL
68937-96-2</t>
  </si>
  <si>
    <t>112-90-3 
CONFIDENCIAL
68937-96-3</t>
  </si>
  <si>
    <t>112-90-3 
CONFIDENCIAL
68937-96-4
64742-54-7
64742-65-0</t>
  </si>
  <si>
    <t>107-41-5
9004-98-2</t>
  </si>
  <si>
    <t xml:space="preserve">111-46-6 </t>
  </si>
  <si>
    <t>111-76-2</t>
  </si>
  <si>
    <t>No aplicable 
26183-52-8 
26183-52-8</t>
  </si>
  <si>
    <t xml:space="preserve">7664-41-7
9002-89-5 
13463-67-7 </t>
  </si>
  <si>
    <t xml:space="preserve"> 1330-20-7
67-64-1 
108-10-1
  67-56-1
67-63-0 </t>
  </si>
  <si>
    <t>Varía
 64742-47-8</t>
  </si>
  <si>
    <t xml:space="preserve"> 68476-34-6 
SECRETO COMERCIAL</t>
  </si>
  <si>
    <t>SECRETO COMERCIAL
SECRETO COMERCIAL
68937-96-2
SECRETO COMERCIAL
 84605-29-8
1330-20-7</t>
  </si>
  <si>
    <t>68476-34-6
64742-95-6 
95-63-6
 91-20-3</t>
  </si>
  <si>
    <t>122-39-4
64742-54-7
64742-65-0
68649-42-3</t>
  </si>
  <si>
    <t>64741-88-4 
64741-89-5 
68649-42-3</t>
  </si>
  <si>
    <t>Mezcla
 68649-42-3
90194-27-7</t>
  </si>
  <si>
    <t>64742-48-9</t>
  </si>
  <si>
    <t>64742-53-6
64742-52-5
54742-54-4/54742-65-0/54742-58-1</t>
  </si>
  <si>
    <t>68649-42-3
68610-84-4
68411-46-6</t>
  </si>
  <si>
    <t>72623-87-1</t>
  </si>
  <si>
    <t xml:space="preserve">64742-52-5 </t>
  </si>
  <si>
    <t>68476-34-6
64742-95-6 
 95-63-6
91-20-3</t>
  </si>
  <si>
    <t>8032-32-4
8002 -74-2</t>
  </si>
  <si>
    <t>8032-32-4
8002 -74-3</t>
  </si>
  <si>
    <t>72623-87-1
64742-54-7
72623-87-1
112-90-3
128-39-2
34140-91-5</t>
  </si>
  <si>
    <t>112-90-3
128-39-2
34140-91-5</t>
  </si>
  <si>
    <t xml:space="preserve">Varia </t>
  </si>
  <si>
    <t>64742-65-0
1310-66-3</t>
  </si>
  <si>
    <t>Mezcla
 68649-42-3 
Secreto 
Mezcla</t>
  </si>
  <si>
    <t>Varia 
64742-54-7</t>
  </si>
  <si>
    <t>64771-72-8 
91-20-3
1330-20-7
100-41-4
64742-47-8
68476-30-2</t>
  </si>
  <si>
    <t xml:space="preserve">108-88-3 
110-82-7
141-78-6 
1330-20-7
7429-90-5  
100-41-4
74-98-6 
 106-97-8 </t>
  </si>
  <si>
    <t>68037-01-4 
64742-71-8
147880-09-9
28629-66-5</t>
  </si>
  <si>
    <t>93819-94-4</t>
  </si>
  <si>
    <t>68037-01-4 
93819-94-4
68551-12-2
64742-54-7
64742-65-0
64741-89-5</t>
  </si>
  <si>
    <t xml:space="preserve">113706-15-3 </t>
  </si>
  <si>
    <t xml:space="preserve"> CONFIDENTIAL </t>
  </si>
  <si>
    <t>Confidential
64742-54-7</t>
  </si>
  <si>
    <t xml:space="preserve"> 8008-20-6 </t>
  </si>
  <si>
    <t>2215-35-2
36878-20-3
64742-54-7 
64742-65-0
93819-94-4</t>
  </si>
  <si>
    <t xml:space="preserve"> 64742-46-7 
68649-42-3 </t>
  </si>
  <si>
    <t xml:space="preserve">68457-79-4 </t>
  </si>
  <si>
    <t xml:space="preserve">125643-61-0 
 99-31-7 </t>
  </si>
  <si>
    <t xml:space="preserve">64742-55-8
27193-86-8
 11059-65-7 </t>
  </si>
  <si>
    <t xml:space="preserve"> 112-90-3 
68937-96-2
64742-54-7
64742-65-0</t>
  </si>
  <si>
    <t xml:space="preserve">68937-96-2 </t>
  </si>
  <si>
    <t>64742-46-7
Mezcla</t>
  </si>
  <si>
    <t>64742-54-7
64742-46-7
64742-54-7
64742-55-8
Mezcla</t>
  </si>
  <si>
    <t xml:space="preserve"> 64742-62-7
91745-46-9</t>
  </si>
  <si>
    <t xml:space="preserve"> 84605-20-9 
128-39-2
POLÍMERO
121158-58-5</t>
  </si>
  <si>
    <t>64742-54-7
722503-68-6
147880-09-9</t>
  </si>
  <si>
    <t xml:space="preserve"> 72623-87-1 
147880-09-9
36878-20-3
72623-86-0 
 64742-54-7 
 64742-54-7 </t>
  </si>
  <si>
    <t>72623-87-1
72623-86-0</t>
  </si>
  <si>
    <t>106-97-8
109-66-0</t>
  </si>
  <si>
    <t>106-97-8
109-66-0
112-90-3</t>
  </si>
  <si>
    <t>72623-87-1
Mezcla
64742-55-8
Confidential</t>
  </si>
  <si>
    <t>72623-87-1
72623-87-1
68784-17-8
64742-79-6
64742-54-7
424-820-7
93882-40-7</t>
  </si>
  <si>
    <t>106-97-8
64742-65-0
110-25-8
68783-96-0
3010-23-9</t>
  </si>
  <si>
    <t xml:space="preserve">72623-83-7
64742-65-0
68911-87-5
68991-70-8 
14464-46-1 
14808-60-7 </t>
  </si>
  <si>
    <t>128-39-2
4259-15-8</t>
  </si>
  <si>
    <t xml:space="preserve">64742-47-8
 121158-58-5 </t>
  </si>
  <si>
    <t>64742-47-8
121158-58-5</t>
  </si>
  <si>
    <t xml:space="preserve">No asignado 
No asignado </t>
  </si>
  <si>
    <t>No asignado 
722503-69-7</t>
  </si>
  <si>
    <t xml:space="preserve">No asignado </t>
  </si>
  <si>
    <t xml:space="preserve">68784-26-9
68649-42-3
No asignado </t>
  </si>
  <si>
    <t xml:space="preserve">No aplicable en mezclas 
No aplicable en mezclas </t>
  </si>
  <si>
    <t>64742-54-7
64742-57-0
64742-65-0</t>
  </si>
  <si>
    <t>64742-54-7
72623-87-1
147880-09-9
POLÍMERO
64742-55-8
64742-54-7
68784-31-6
POLÍMERO</t>
  </si>
  <si>
    <t>1222-39-4
64742-54-7
64742-65-0
68649-42-3</t>
  </si>
  <si>
    <t xml:space="preserve">64741-89-5
64741-88-4
64742-54-7 
68649-42-3 
 64741-89-5 
  64741-88-4
64742-54-7 </t>
  </si>
  <si>
    <t>64742-48-9
Varía</t>
  </si>
  <si>
    <t>Varía</t>
  </si>
  <si>
    <t>Mezcla
68649-42-3 
Confidential</t>
  </si>
  <si>
    <t xml:space="preserve">No aplica </t>
  </si>
  <si>
    <t>532-32-1</t>
  </si>
  <si>
    <t xml:space="preserve"> 119-61-9 </t>
  </si>
  <si>
    <t xml:space="preserve">111-30-8 
7732-18-5 </t>
  </si>
  <si>
    <t xml:space="preserve">63449-41-2 </t>
  </si>
  <si>
    <t>7647-14-5</t>
  </si>
  <si>
    <t>71243-41-9</t>
  </si>
  <si>
    <t xml:space="preserve"> 107-21-1 </t>
  </si>
  <si>
    <t xml:space="preserve">63148-62-9 </t>
  </si>
  <si>
    <t>104-40-5</t>
  </si>
  <si>
    <t xml:space="preserve"> 1310-73-2 </t>
  </si>
  <si>
    <t>67-63-0
109-60-4</t>
  </si>
  <si>
    <t xml:space="preserve"> 7757-82-6 </t>
  </si>
  <si>
    <t>102-71-6</t>
  </si>
  <si>
    <t>7758-29-4</t>
  </si>
  <si>
    <t xml:space="preserve">252-104-2
POLÍMERO
 239-854-6 
 215-185-5 </t>
  </si>
  <si>
    <t xml:space="preserve"> 110-82-7 
 67-63-0 
 107-98-2 
 64742-49-0 
1589-47-5 </t>
  </si>
  <si>
    <t xml:space="preserve"> 57-13-6</t>
  </si>
  <si>
    <t>7664-93-9
129813-58-7
68584-22-5</t>
  </si>
  <si>
    <t xml:space="preserve"> Varía </t>
  </si>
  <si>
    <t xml:space="preserve">no peligroso </t>
  </si>
  <si>
    <t xml:space="preserve">64742-47-8
no asignado </t>
  </si>
  <si>
    <t xml:space="preserve">no asignado </t>
  </si>
  <si>
    <t xml:space="preserve">28629-66-5
36878-20-3
no asignado </t>
  </si>
  <si>
    <t xml:space="preserve">no asignado 
112-90-3
no asignado </t>
  </si>
  <si>
    <t>28629-66-5
848301-69-9
36878-20-3</t>
  </si>
  <si>
    <t xml:space="preserve">no asignado 
36878-20-3 
134758-95-5 
27193-86-8
no asignado </t>
  </si>
  <si>
    <t xml:space="preserve">no asignado 
36878-20-3 
no asignado </t>
  </si>
  <si>
    <t xml:space="preserve">Mezcla
Confidencial
 84605-29-8
 121158-58-5 </t>
  </si>
  <si>
    <t xml:space="preserve">107-21-1 
3164-85-0 </t>
  </si>
  <si>
    <t xml:space="preserve"> 157707-86-3 
 68937-96-2 
36878-20-3
Mezcla </t>
  </si>
  <si>
    <t xml:space="preserve">27193-86-8
36878-20-3
no asignado </t>
  </si>
  <si>
    <t xml:space="preserve"> 63449-41-2 </t>
  </si>
  <si>
    <t xml:space="preserve">Mezcla
Propietario 
68649-42-3 
Propietario
Propietario
104-43-8 </t>
  </si>
  <si>
    <t>110-98-5</t>
  </si>
  <si>
    <t>2634-33-5
26172-55-4
2682-20-4</t>
  </si>
  <si>
    <t>63148-62-9</t>
  </si>
  <si>
    <t>63148-62-10</t>
  </si>
  <si>
    <t>Mezcla 
128-39-2 
Propietario
68855-45-8
74499-35-7</t>
  </si>
  <si>
    <t>Mezcla 
Propietario
 18760-44-6
36878-20-3 
Propietario
Propietario</t>
  </si>
  <si>
    <t>Mezcla 
 Propietario 
 Propietario 
68649-42-3
Propietario</t>
  </si>
  <si>
    <t>110-27-0</t>
  </si>
  <si>
    <t>SPIRDANE D 40</t>
  </si>
  <si>
    <t>Aceites usados</t>
  </si>
  <si>
    <t>Base PU Negro</t>
  </si>
  <si>
    <t>Pintura poliuretano blanca gricoat</t>
  </si>
  <si>
    <t>pintura  en aerosol vharbor</t>
  </si>
  <si>
    <t>Pintura poliuretano blanca Paintec</t>
  </si>
  <si>
    <t>Pintura poliuretano blanca PPG</t>
  </si>
  <si>
    <t>Thiner - grupo  tecno pintura</t>
  </si>
  <si>
    <t>Disolvente  algreco (varsol)</t>
  </si>
  <si>
    <t>Gel antibaterial</t>
  </si>
  <si>
    <t>Ambientador bonaire</t>
  </si>
  <si>
    <t>Blanqueador (hiploclorito de sodio) scopa</t>
  </si>
  <si>
    <t>Jabon liquido Orion</t>
  </si>
  <si>
    <t>Pegaucho  la union perfecta  de cemento  de contato XL</t>
  </si>
  <si>
    <t>Nitrogeno</t>
  </si>
  <si>
    <t>Aceite Shell morlina S2BL10</t>
  </si>
  <si>
    <t>Catalizador pintura epoxica Kolor</t>
  </si>
  <si>
    <t>Silicona Vermelho</t>
  </si>
  <si>
    <t>Agua desmineralizada para baterias</t>
  </si>
  <si>
    <t>CRC 5-56</t>
  </si>
  <si>
    <t>Lubricante penetrante werk</t>
  </si>
  <si>
    <t>Ambientador dylop</t>
  </si>
  <si>
    <t>Polvo 1A</t>
  </si>
  <si>
    <t>Alcohol fiamme</t>
  </si>
  <si>
    <t>Limpiavidrios potente macecotar</t>
  </si>
  <si>
    <t>Jabon liquido de manos Berthlan</t>
  </si>
  <si>
    <t>Detergente de coco</t>
  </si>
  <si>
    <t>Desengrasante orion</t>
  </si>
  <si>
    <t>Detergente ultrex</t>
  </si>
  <si>
    <t>Lavaloza orion</t>
  </si>
  <si>
    <t>Ambientador brizze</t>
  </si>
  <si>
    <t>01/0/2018</t>
  </si>
  <si>
    <t>Oxigeno comprimido</t>
  </si>
  <si>
    <t>Lavaloza liquido</t>
  </si>
  <si>
    <t>Es una ficha tecnica</t>
  </si>
  <si>
    <t>No corresponde a la FDS del producto esta es la de sapolin</t>
  </si>
  <si>
    <t>Nombre del producto</t>
  </si>
  <si>
    <t>Observaciones</t>
  </si>
  <si>
    <t>Sandvik rock drilling tools thread grease</t>
  </si>
  <si>
    <t>Alcohol en gel</t>
  </si>
  <si>
    <t>Ambientador Vimach</t>
  </si>
  <si>
    <t>Jabon liquido</t>
  </si>
  <si>
    <t>Desactualizado</t>
  </si>
  <si>
    <t>Nombre del producto quimico</t>
  </si>
  <si>
    <t>Fecha de revision FDS</t>
  </si>
  <si>
    <t>Estado de vigencia</t>
  </si>
  <si>
    <t>Condición</t>
  </si>
  <si>
    <t>Referenciaron en el correo tener FDS de la empresa Vimach, pero esta no fue enviada</t>
  </si>
  <si>
    <t>No se tiene FDS</t>
  </si>
  <si>
    <t>Me enviaron la misma FDS desactualizada.</t>
  </si>
  <si>
    <t>No reporta en la FDS fecha de revision o actualizacion</t>
  </si>
  <si>
    <t>Pendiente envio FDS</t>
  </si>
  <si>
    <t>Enviaron FDS pero no esta actualizada por SGA, ni tiene fecha de revision y/o actualizacion</t>
  </si>
  <si>
    <t>INFORMACIÓN GENERAL DEL PRODUCTO QUÍMICO</t>
  </si>
  <si>
    <t>Estado de la vigencia</t>
  </si>
  <si>
    <t>Físico N°1</t>
  </si>
  <si>
    <t>Físico N°2</t>
  </si>
  <si>
    <t>Salud N°1</t>
  </si>
  <si>
    <t>Salud N°2</t>
  </si>
  <si>
    <t>SUSTANCIAS TOXICAS AGUDAS
SECCION 2</t>
  </si>
  <si>
    <t>UBICACIÓN</t>
  </si>
  <si>
    <t>SUSTANCIAS CONTROLADAS (Si/No)</t>
  </si>
  <si>
    <t>IDENTIFICACION UN</t>
  </si>
  <si>
    <t xml:space="preserve">ESTADO
 (líquido, sólido, gaseoso)
</t>
  </si>
  <si>
    <t>N° CAS</t>
  </si>
  <si>
    <t>DATOS DEL FABRICANTE</t>
  </si>
  <si>
    <t>PALABRA DE ADVERTENCIA</t>
  </si>
  <si>
    <t>EPI</t>
  </si>
  <si>
    <t xml:space="preserve">COMPOSICION
</t>
  </si>
  <si>
    <t>DENSIDAD</t>
  </si>
  <si>
    <t>PESO MOLECULAR</t>
  </si>
  <si>
    <t>SEDE</t>
  </si>
  <si>
    <t>Disponibilidad y vigencia de FDS</t>
  </si>
  <si>
    <t>Dispone de FDS</t>
  </si>
  <si>
    <t>Si/No</t>
  </si>
  <si>
    <t>LABORATORIO O AREA</t>
  </si>
  <si>
    <t>Densidad</t>
  </si>
  <si>
    <t>Peso molecular</t>
  </si>
  <si>
    <t>NUMERO ASIGNADO AL PRODUCTO QUIMICO</t>
  </si>
  <si>
    <t xml:space="preserve">Ubicación </t>
  </si>
  <si>
    <t>INFORMACION GENERAL DEL PRODUCTO</t>
  </si>
  <si>
    <t xml:space="preserve">Numero asignado al producto químico </t>
  </si>
  <si>
    <t>Ubicación</t>
  </si>
  <si>
    <t>Estado</t>
  </si>
  <si>
    <t>Composición</t>
  </si>
  <si>
    <t>Sede</t>
  </si>
  <si>
    <t>Fecha de vencimiento reportada en el recipiente</t>
  </si>
  <si>
    <t>Datos del fabricante</t>
  </si>
  <si>
    <t>Frases H</t>
  </si>
  <si>
    <t>Frases P</t>
  </si>
  <si>
    <t>Es el numero que la institución asignara para codificar el producto químico.</t>
  </si>
  <si>
    <t>Ubicación asignada dentro del laboratorio</t>
  </si>
  <si>
    <t>Reportar el peso molecular de la sustancia en g/mol</t>
  </si>
  <si>
    <t>Seleccionar de la lista desplegable la sede en la cual se encuentra el producto químico</t>
  </si>
  <si>
    <t>Se debe colocar la fecha de vencimiento de la sustancia química en el siguiente orden (Dia/Mes/Año).</t>
  </si>
  <si>
    <t>En esta casilla se coloca si a la sustancia en cuestión le aplica la existencia de toxicidad aguda.</t>
  </si>
  <si>
    <t>Componente controlado</t>
  </si>
  <si>
    <t>Componente</t>
  </si>
  <si>
    <t>LISTADO DE SUSTANCIAS CONTROLADAS EN COLOMBIA 
Resoluccion 001 de 2015</t>
  </si>
  <si>
    <t xml:space="preserve">Nombre del producto </t>
  </si>
  <si>
    <t>Aceite combustible para motor- ACPM</t>
  </si>
  <si>
    <t>Acetato de butilo</t>
  </si>
  <si>
    <t>Acetato de etilo</t>
  </si>
  <si>
    <t>Acetato de isobutilo</t>
  </si>
  <si>
    <t>Acetato de isopropilo</t>
  </si>
  <si>
    <t>Acetato de n-propilo</t>
  </si>
  <si>
    <t>Acetona</t>
  </si>
  <si>
    <t>Ácido clorhídrico</t>
  </si>
  <si>
    <t>Ácido sulfúrico</t>
  </si>
  <si>
    <t>Alcohol isopropílico</t>
  </si>
  <si>
    <t>Amoniaco</t>
  </si>
  <si>
    <t>Anhídrido acético</t>
  </si>
  <si>
    <t>Butanol</t>
  </si>
  <si>
    <t>Carbonato de sodio</t>
  </si>
  <si>
    <t>Cemento</t>
  </si>
  <si>
    <t>Cloroformo</t>
  </si>
  <si>
    <t>Cloruro de calcio</t>
  </si>
  <si>
    <t>Diacetona alcohol</t>
  </si>
  <si>
    <t>Dióxido de manganeso</t>
  </si>
  <si>
    <t>Disolvente números 1 y 1A</t>
  </si>
  <si>
    <t>Disolvente número 2</t>
  </si>
  <si>
    <t>Éter etílico</t>
  </si>
  <si>
    <t>Gasolina para motor</t>
  </si>
  <si>
    <t>Hexano</t>
  </si>
  <si>
    <t>Hidróxido de sodio</t>
  </si>
  <si>
    <t>Manganato de potasio</t>
  </si>
  <si>
    <t>Metanol</t>
  </si>
  <si>
    <t>Metabisulfito de sodio</t>
  </si>
  <si>
    <t>Metil etil cetona</t>
  </si>
  <si>
    <t>Metil isobutil cetona</t>
  </si>
  <si>
    <t>Permanganato de potasio</t>
  </si>
  <si>
    <t>Thinner</t>
  </si>
  <si>
    <t>Tolueno</t>
  </si>
  <si>
    <t>Cualquier cantidad</t>
  </si>
  <si>
    <t>2 Ton</t>
  </si>
  <si>
    <t>Cantidad aplicable
(Límites mínimos de control)</t>
  </si>
  <si>
    <t>&gt; 5 Kg ó &gt; 5L</t>
  </si>
  <si>
    <t>220 gal lqd (galones americanos)</t>
  </si>
  <si>
    <t>110 gal lqd (galones americanos)</t>
  </si>
  <si>
    <t>CAS No.</t>
  </si>
  <si>
    <t>Aloe vera, whole leaf extract</t>
  </si>
  <si>
    <t>2B</t>
  </si>
  <si>
    <t>Clonorchis sinensis (infection with)</t>
  </si>
  <si>
    <t>61, 100B</t>
  </si>
  <si>
    <t>Fusarium graminearum, F. culmorum, and F. crookwellense, toxins derived from (zearalenone, deoxynivalenol, nivalenol, and fusarenone X)</t>
  </si>
  <si>
    <t>Sup 7, 56</t>
  </si>
  <si>
    <t>Fusarium sporotrichioides, toxins derived from (T-2 toxin)</t>
  </si>
  <si>
    <t>Helicobacter pylori (infection with)</t>
  </si>
  <si>
    <t>Microcystis extracts</t>
  </si>
  <si>
    <t>Opisthorchis felineus (infection with)</t>
  </si>
  <si>
    <t>Opisthorchis viverrini (infection with)</t>
  </si>
  <si>
    <t>Schistosoma haematobium (infection with)</t>
  </si>
  <si>
    <t>Schistosoma japonicum (infection with)</t>
  </si>
  <si>
    <t>Schistosoma mansoni (infection with)</t>
  </si>
  <si>
    <t>Acheson process, occupational exposure associated with</t>
  </si>
  <si>
    <t>Acid mists, strong inorganic</t>
  </si>
  <si>
    <t>54, 100F</t>
  </si>
  <si>
    <t>Acrylic fibres</t>
  </si>
  <si>
    <t>19, Sup 7</t>
  </si>
  <si>
    <t>Acrylonitrile-butadiene-styrene copolymers</t>
  </si>
  <si>
    <t>Alcoholic beverages</t>
  </si>
  <si>
    <t>44, 96, 100E</t>
  </si>
  <si>
    <t>Alpha particles (see Radionuclides)</t>
  </si>
  <si>
    <t>Aluminium production</t>
  </si>
  <si>
    <t>34, Sup 7, 92, 100F</t>
  </si>
  <si>
    <t>Anaesthetics, volatile</t>
  </si>
  <si>
    <t>11, Sup 7</t>
  </si>
  <si>
    <t>Androgenic (anabolic) steroids</t>
  </si>
  <si>
    <t>2A</t>
  </si>
  <si>
    <t>Sup 7</t>
  </si>
  <si>
    <t>Areca nut</t>
  </si>
  <si>
    <t>85, 100E</t>
  </si>
  <si>
    <t>Arecoline</t>
  </si>
  <si>
    <t>2021 online</t>
  </si>
  <si>
    <t>Art glass, glass containers and pressed ware (manufacture of)</t>
  </si>
  <si>
    <t>Auramine production</t>
  </si>
  <si>
    <t>Sup 7, 99, 100F</t>
  </si>
  <si>
    <t>BK polyomavirus (BKV)</t>
  </si>
  <si>
    <t>Benzidine, dyes metabolized to</t>
  </si>
  <si>
    <t>99, 100F</t>
  </si>
  <si>
    <t>NB Overall evaluation upgraded to Group 1 based on mechanistic and other relevant data</t>
  </si>
  <si>
    <t>Beta particles (see Radionuclides)</t>
  </si>
  <si>
    <t>Betel quid with tobacco</t>
  </si>
  <si>
    <t>Sup 7, 85, 100E</t>
  </si>
  <si>
    <t>Betel quid without tobacco</t>
  </si>
  <si>
    <t>Biomass fuel (primarily wood), indoor emissions from household combustion of</t>
  </si>
  <si>
    <t>Bisulfites</t>
  </si>
  <si>
    <t>Bitumens, occupational exposure to hard bitumens and their emissions during mastic asphalt work</t>
  </si>
  <si>
    <t>Boot and shoe manufacture and repair (see Leather dust, Benzene)</t>
  </si>
  <si>
    <t>25, Sup 7</t>
  </si>
  <si>
    <t>Bracken fern</t>
  </si>
  <si>
    <t>40, Sup 7</t>
  </si>
  <si>
    <t>Calcium carbide production</t>
  </si>
  <si>
    <t>Carbon electrode manufacture</t>
  </si>
  <si>
    <t>Carpentry and joinery</t>
  </si>
  <si>
    <t>Ceramic implants</t>
  </si>
  <si>
    <t>Chimney sweeping (see Soot)</t>
  </si>
  <si>
    <t>Chlorinated drinking-water</t>
  </si>
  <si>
    <t>Chlorinated paraffins of average carbon chain length C12 and average degree of chlorination approximately 60%</t>
  </si>
  <si>
    <t>Chlorophenols (see Polychlorophenols)</t>
  </si>
  <si>
    <t>Chlorophenoxy herbicides</t>
  </si>
  <si>
    <t>41, Sup 7</t>
  </si>
  <si>
    <t>Coal dust</t>
  </si>
  <si>
    <t>Coal gasification</t>
  </si>
  <si>
    <t>Sup 7, 92, 100F</t>
  </si>
  <si>
    <t>Coal, indoor emissions from household combustion of</t>
  </si>
  <si>
    <t>95, 100E</t>
  </si>
  <si>
    <t>Cobalt and cobalt compounds, see Soluble cobalt(II) salts, Cobalt metal (without tungsten carbide or other metal alloys), Cobalt(II) oxide, Cobalt(II,III) oxide, Cobalt(II) sulfide, and Other cobalt(II) compounds (not including Soluble cobalt(II) salts, Cobalt(II) oxide, Cobalt(II,III) oxide, or Cobalt(II) sulfide)</t>
  </si>
  <si>
    <t>Cobalt metal without tungsten carbide, see Cobalt metal (without tungsten carbide or other metal alloys)</t>
  </si>
  <si>
    <t>Cobalt sulfate and other soluble cobalt(II) salts, see Soluble cobalt(II) salts</t>
  </si>
  <si>
    <t>Coffee, drinking</t>
  </si>
  <si>
    <t>51, 116</t>
  </si>
  <si>
    <t>2018 online</t>
  </si>
  <si>
    <t>NB There is "evidence suggesting lack of carcinogenicity" in humans of coffee drinking for cancers of the pancreas, liver, female breast, uterine endometrium, and prostate.  Inverse associations with coffee drinking have been observed with cancers of the liver and uterine endometrium.</t>
  </si>
  <si>
    <t>Coke production</t>
  </si>
  <si>
    <t>Continuous glass filament (see Glass filament)</t>
  </si>
  <si>
    <t>Dental materials</t>
  </si>
  <si>
    <t>Diesel engine exhaust (see Engine exhaust, diesel)</t>
  </si>
  <si>
    <t>Diesel fuel, marine</t>
  </si>
  <si>
    <t>NB Overall evaluation upgraded to Group 2B with supporting evidence from other relevant data</t>
  </si>
  <si>
    <t>Diesel fuels, distillate (light)</t>
  </si>
  <si>
    <t>Dry cleaning (occupational exposures in)</t>
  </si>
  <si>
    <t>Dyes metabolized to benzidine (see Benzidine, dyes metabolized to)</t>
  </si>
  <si>
    <t>Electric fields, extremely low-frequency</t>
  </si>
  <si>
    <t>Electric fields, static</t>
  </si>
  <si>
    <t>Engine exhaust, diesel</t>
  </si>
  <si>
    <t>46, 105</t>
  </si>
  <si>
    <t>Engine exhaust, gasoline</t>
  </si>
  <si>
    <t>Epstein-Barr virus</t>
  </si>
  <si>
    <t>70, 100B</t>
  </si>
  <si>
    <t>Estrogen therapy, postmenopausal</t>
  </si>
  <si>
    <t>72, 100A</t>
  </si>
  <si>
    <t>Estrogen-progestogen menopausal therapy (combined)</t>
  </si>
  <si>
    <t>72, 91, 100A</t>
  </si>
  <si>
    <t>Estrogen-progestogen oral contraceptives (combined)</t>
  </si>
  <si>
    <t>NB There is also convincing evidence in humans that these agents confer a protective effect against cancer in the endometrium and ovary</t>
  </si>
  <si>
    <t>Firefighter (occupational exposure as a)</t>
  </si>
  <si>
    <t>98, 132</t>
  </si>
  <si>
    <t>In prep.</t>
  </si>
  <si>
    <t>Fission products, including strontium-90</t>
  </si>
  <si>
    <t>100D</t>
  </si>
  <si>
    <t>Flat-glass and specialty glass (manufacture of)</t>
  </si>
  <si>
    <t>Fluorescent lighting</t>
  </si>
  <si>
    <t>Fluoro-edenite fibrous amphibole</t>
  </si>
  <si>
    <t>Foreign  bodies (see Ceramic implants, Dental materials, Implanted foreign bodies, Metallic implants, Organic polymeric materials, Orthopaedic implants, Polymeric implants, Silicone breast implants)</t>
  </si>
  <si>
    <t>Frying, emissions from high-temperature</t>
  </si>
  <si>
    <t>Fuel oils, distillate (light)</t>
  </si>
  <si>
    <t>Fuel oils, residual (heavy)</t>
  </si>
  <si>
    <t>Furniture and cabinet making (see Wood dust)</t>
  </si>
  <si>
    <t>Gamma-Radiation (see X- and Gamma-Radiation)</t>
  </si>
  <si>
    <t>Gasoline</t>
  </si>
  <si>
    <t>Gasoline engine exhaust (see Engine exhaust, gasoline)</t>
  </si>
  <si>
    <t>Glass filament, continuous</t>
  </si>
  <si>
    <t>43, 81</t>
  </si>
  <si>
    <t>Goldenseal root powder</t>
  </si>
  <si>
    <t>Haematite mining (underground)</t>
  </si>
  <si>
    <t>1, Sup 7, 100D</t>
  </si>
  <si>
    <t>Hair colouring products (personal use of)</t>
  </si>
  <si>
    <t>57, 99</t>
  </si>
  <si>
    <t>Hairdresser or barber (occupational exposure as a)</t>
  </si>
  <si>
    <t>Hepatitis B virus (chronic infection with)</t>
  </si>
  <si>
    <t>59, 100B</t>
  </si>
  <si>
    <t>Hepatitis C virus (chronic infection with)</t>
  </si>
  <si>
    <t>Hepatitis D virus</t>
  </si>
  <si>
    <t>Hexachlorocyclohexanes</t>
  </si>
  <si>
    <t>20, Sup 7</t>
  </si>
  <si>
    <t>High-temperature frying (see Frying)</t>
  </si>
  <si>
    <t>Household combustion of biomass fuel (see Biomass fuel, indoor emissions from household combustion of)</t>
  </si>
  <si>
    <t>Household combustion of coal (see Coal, indoor emissions from household combustion)</t>
  </si>
  <si>
    <t>Human T-cell lymphotropic virus type I</t>
  </si>
  <si>
    <t>67, 100B</t>
  </si>
  <si>
    <t>Human T-cell lymphotropic virus type II</t>
  </si>
  <si>
    <t>Human herpesvirus type 4 (see Epstein-Barr virus)</t>
  </si>
  <si>
    <t>Human herpesvirus type 8 (see Kaposi sarcoma herpesvirus)</t>
  </si>
  <si>
    <t>Human immunodeficiency virus type 1 (infection with)</t>
  </si>
  <si>
    <t>Human immunodeficiency virus type 2 (infection with)</t>
  </si>
  <si>
    <t>Human papillomavirus (HPV) genus beta (except types 5 and 8) and genus gamma</t>
  </si>
  <si>
    <t>90, 100B</t>
  </si>
  <si>
    <t>Human papillomavirus (HPV) type 16</t>
  </si>
  <si>
    <t>64, 90, 100B</t>
  </si>
  <si>
    <t>NB The HPV types that have been classified as carcinogenic to humans can differ by an order of  magnitude in risk for cervical cancer</t>
  </si>
  <si>
    <t>Human papillomavirus (HPV) type 18</t>
  </si>
  <si>
    <t>Human papillomavirus (HPV) type 33</t>
  </si>
  <si>
    <t>Human papillomavirus (HPV) type 68</t>
  </si>
  <si>
    <t>100B</t>
  </si>
  <si>
    <t>Human papillomavirus (HPV) types 31, 35, 39, 45, 51, 52, 56, 58, 59</t>
  </si>
  <si>
    <t>NB The HPV types that have been classified as carcinogenic to humans can differ by an order of magnitude in risk for cervical cancer</t>
  </si>
  <si>
    <t>Human papillomavirus (HPV) types 26, 53, 66, 67, 70, 73, 82</t>
  </si>
  <si>
    <t>Human papillomavirus (HPV) types 30, 34, 69, 85, 97</t>
  </si>
  <si>
    <t>NB Classified by phylogenetic analogy to the HPV genus alpha types classified in Group 1</t>
  </si>
  <si>
    <t>Human papillomavirus (HPV) types 5 and 8 (in patients with epidermodysplasia verruciformis)</t>
  </si>
  <si>
    <t>Human papillomavirus (HPV) types 6 and 11</t>
  </si>
  <si>
    <t>Hypochlorite salts</t>
  </si>
  <si>
    <t>Implanted foreign bodies of metallic chromium or titanium and of cobalt-based, chromium-based, and titanium-based alloys, stainless steel and depleted uranium</t>
  </si>
  <si>
    <t>Implanted foreign bodies of metallic cobalt, metallic nickel and an alloy powder containing 66-67% nickel, 13-16% chromium, and 7% iron</t>
  </si>
  <si>
    <t>Insulation glass wool</t>
  </si>
  <si>
    <t>Involuntary smoking (see Tobacco smoke, second-hand)</t>
  </si>
  <si>
    <t>Ionizing radiation (all types)</t>
  </si>
  <si>
    <t>Iron and steel founding (occupational exposure during)</t>
  </si>
  <si>
    <t>34, Sup 7, 100F</t>
  </si>
  <si>
    <t>Isopropyl alcohol manufacture using strong acids</t>
  </si>
  <si>
    <t>Sup 7, 100F</t>
  </si>
  <si>
    <t>Isopropyl oils</t>
  </si>
  <si>
    <t>15, Sup 7, 71</t>
  </si>
  <si>
    <t>JC polyomavirus (JCV)</t>
  </si>
  <si>
    <t>Jet fuel</t>
  </si>
  <si>
    <t>Kaposi sarcoma herpesvirus</t>
  </si>
  <si>
    <t>Lead compounds, inorganic</t>
  </si>
  <si>
    <t>Sup 7, 87</t>
  </si>
  <si>
    <t>Lead compounds, organic</t>
  </si>
  <si>
    <t>23, Sup 7, 87</t>
  </si>
  <si>
    <t>NB Organic lead compounds are metabolized at least in part, to ionic lead both in humans and animals. To the extent that ionic lead, generated from organic lead, is present in the body, it will be expected to exert the toxicities associated with inorganic lead</t>
  </si>
  <si>
    <t>Leather dust</t>
  </si>
  <si>
    <t>100C</t>
  </si>
  <si>
    <t>Leather goods manufacture</t>
  </si>
  <si>
    <t>Leather tanning and processing</t>
  </si>
  <si>
    <t>Lumber and sawmill industries (including logging)</t>
  </si>
  <si>
    <t>MOPP and other combined chemotherapy including alkylating agents</t>
  </si>
  <si>
    <t>Sup 7, 100A</t>
  </si>
  <si>
    <t>Madder root (Rubia tinctorum)</t>
  </si>
  <si>
    <t>Magenta production</t>
  </si>
  <si>
    <t>Sup 7, 57, 99, 100F</t>
  </si>
  <si>
    <t>Magnetic fields, extremely low-frequency</t>
  </si>
  <si>
    <t>Magnetic fields, static</t>
  </si>
  <si>
    <t>Malaria (caused by infection with Plasmodium falciparum in holoendemic areas)</t>
  </si>
  <si>
    <t>Mate, hot (see Very hot beverages)</t>
  </si>
  <si>
    <t>Mate, not very hot (drinking)</t>
  </si>
  <si>
    <t>Merkel cell polyomavirus (MCV)</t>
  </si>
  <si>
    <t>Metabisulfites</t>
  </si>
  <si>
    <t>Metallic implants prepared as thin smooth films</t>
  </si>
  <si>
    <t>Methylmercury compounds</t>
  </si>
  <si>
    <t>NB Evaluated as a group</t>
  </si>
  <si>
    <t>Mineral oils, highly-refined</t>
  </si>
  <si>
    <t>33, Sup 7</t>
  </si>
  <si>
    <t>Mineral oils, untreated or mildly treated</t>
  </si>
  <si>
    <t>33, Sup 7, 100F</t>
  </si>
  <si>
    <t>Modacrylic fibres</t>
  </si>
  <si>
    <t>Neutron radiation</t>
  </si>
  <si>
    <t>75, 100D</t>
  </si>
  <si>
    <t>NB Overall evaluation upgraded to Group 1 with supporting evidence from other relevant data</t>
  </si>
  <si>
    <t>Nickel compounds</t>
  </si>
  <si>
    <t>Sup 7, 49, 100C</t>
  </si>
  <si>
    <t>Nickel refining (see Nickel compounds)</t>
  </si>
  <si>
    <t>Night shift work</t>
  </si>
  <si>
    <t>98, 124</t>
  </si>
  <si>
    <t>2020 online</t>
  </si>
  <si>
    <t>NB Volume 98 evaluated shiftwork that involves circadian disruption</t>
  </si>
  <si>
    <t>Nitrate or nitrite (ingested) under conditions that result in endogenous nitrosation</t>
  </si>
  <si>
    <t>Non-arsenical insecticides (occupational exposures in spraying and application of)</t>
  </si>
  <si>
    <t>Oestrogen (see Estrogen)</t>
  </si>
  <si>
    <t>Opium consumption</t>
  </si>
  <si>
    <t>Oral contraceptives, combined estrogen-progestogen (see Estrogen-progestogen oral contraceptives)</t>
  </si>
  <si>
    <t>Organic polymeric materials</t>
  </si>
  <si>
    <t>Orthopaedic implants of complex composition and cardiac pacemakers</t>
  </si>
  <si>
    <t>Other cobalt(II) compounds (not including Soluble cobalt(II) salts, Cobalt(II) oxide, Cobalt(II,III) oxide, and Cobalt(II) sulfide)</t>
  </si>
  <si>
    <t>52, 86, 131</t>
  </si>
  <si>
    <t>2023 online</t>
  </si>
  <si>
    <t>Outdoor air pollution</t>
  </si>
  <si>
    <t>Outdoor air pollution, particulate matter in</t>
  </si>
  <si>
    <t>Paint manufacture (occupational exposure in)</t>
  </si>
  <si>
    <t>Painter (occupational exposure as a)</t>
  </si>
  <si>
    <t>47, 98, 100F</t>
  </si>
  <si>
    <t>Particulate matter in outdoor air pollution (see Outdoor air pollution, particulate matter in)</t>
  </si>
  <si>
    <t>Paving and roofing with coal-tar pitch (see Coal-tar pitch)</t>
  </si>
  <si>
    <t>35, Sup 7, 92, 100F</t>
  </si>
  <si>
    <t>Pentavalent antimony</t>
  </si>
  <si>
    <t>Petroleum refining (occupational exposures in)</t>
  </si>
  <si>
    <t>Petroleum solvents</t>
  </si>
  <si>
    <t>Phenacetin, analgesic mixtures containing</t>
  </si>
  <si>
    <t>Pickled vegetables (traditional Asian)</t>
  </si>
  <si>
    <t>Polychlorinated biphenyls, dioxin-like, with a Toxicity Equivalency Factor (TEF) according to WHO (PCBs 77, 81, 105, 114, 118, 123, 126, 156, 157, 167, 169, 189)</t>
  </si>
  <si>
    <t>NB Overall evaluation upgraded to Group 1 with strong supporting evidence from other relevant data</t>
  </si>
  <si>
    <t>Polychlorinated dibenzo-para-dioxins (other than 2,3,7,8-tetrachlorodibenzo-para-dioxin)</t>
  </si>
  <si>
    <t>Polychlorinated dibenzofurans (see 2,3,4,7,8-Pentachlorodibenzofuran)</t>
  </si>
  <si>
    <t>Polychlorophenols and their sodium salts (mixed exposures) (see Pentachlorophenol; 2,4,6-Trichlorophenol)</t>
  </si>
  <si>
    <t>53, 71</t>
  </si>
  <si>
    <t>Polymeric implant prepared as thin smooth films (with the exception of poly-glycolic acid)</t>
  </si>
  <si>
    <t>Printing inks</t>
  </si>
  <si>
    <t>Printing processes (occupational exposures in)</t>
  </si>
  <si>
    <t>Processed meat (consumption of)</t>
  </si>
  <si>
    <t>Proflavine salts</t>
  </si>
  <si>
    <t>24, Sup 7</t>
  </si>
  <si>
    <t>Progestins</t>
  </si>
  <si>
    <t>Progestogen-only contraceptives</t>
  </si>
  <si>
    <t>Pulp and paper manufacture</t>
  </si>
  <si>
    <t>Radiofrequency electromagnetic fields</t>
  </si>
  <si>
    <t>Radioiodines, including iodine-131</t>
  </si>
  <si>
    <t>78, 100D</t>
  </si>
  <si>
    <t>Radionuclides, alpha-particle-emitting, internally deposited</t>
  </si>
  <si>
    <t>NB Specific radionuclides for which there is sufficient evidence in humans are also listed individually as Group 1 agents</t>
  </si>
  <si>
    <t>Radionuclides, beta-particle-emitting, internally deposited</t>
  </si>
  <si>
    <t>Red meat (consumption of)</t>
  </si>
  <si>
    <t>Refractory ceramic fibres</t>
  </si>
  <si>
    <t>Rock (stone) wool</t>
  </si>
  <si>
    <t>Rubber manufacturing industry</t>
  </si>
  <si>
    <t>28, Sup 7, 100F</t>
  </si>
  <si>
    <t>SV40 polyomavirus</t>
  </si>
  <si>
    <t>Salted fish, Chinese-style</t>
  </si>
  <si>
    <t>56, 100E</t>
  </si>
  <si>
    <t>Silicone breast implants</t>
  </si>
  <si>
    <t>Slag wool</t>
  </si>
  <si>
    <t>Solar radiation (see Ultraviolet radiation (wavelengths 100–400 nm, encompassing UVA, UVB, and UVC); Ultraviolet radiation from welding; and Ultraviolet-emitting tanning devices)</t>
  </si>
  <si>
    <t>55, 100D</t>
  </si>
  <si>
    <t>Soluble cobalt(II) salts</t>
  </si>
  <si>
    <t>Soot (as found in occupational exposure of chimney sweeps)</t>
  </si>
  <si>
    <t>Special-purpose fibres such as E-glass and '475' glass fibres</t>
  </si>
  <si>
    <t>Sulfites</t>
  </si>
  <si>
    <t>Sunlamps and sunbeds (see Ultraviolet-emitting tanning devices)</t>
  </si>
  <si>
    <t>Surgical implants (see Ceramic implants, Dental materials, Implanted foreign bodies, Metallic implants, Organic polymeric materials, Orthopaedic implants, Polymeric implants, Silicone breast implants)</t>
  </si>
  <si>
    <t>Tea</t>
  </si>
  <si>
    <t>Tetrakis(hydroxymethyl)phosphonium salts</t>
  </si>
  <si>
    <t>48, 71</t>
  </si>
  <si>
    <t>Textile manufacturing industry (work in)</t>
  </si>
  <si>
    <t>Tobacco smoke, second-hand</t>
  </si>
  <si>
    <t>83, 100E</t>
  </si>
  <si>
    <t>Tobacco smoking</t>
  </si>
  <si>
    <t>Tobacco, smokeless</t>
  </si>
  <si>
    <t>Sup 7, 89, 100E</t>
  </si>
  <si>
    <t>Toxins derived from certain Fusarium species (see Fusarium)</t>
  </si>
  <si>
    <t>Trivalent antimony</t>
  </si>
  <si>
    <t>47, 131</t>
  </si>
  <si>
    <t>Ultraviolet radiation from welding (see Ultraviolet radiation (wavelengths 100–400 nm, encompassing UVA, UVB, and UVC); Ultraviolet-emitting tanning devices; and Solar radiation)</t>
  </si>
  <si>
    <t>100D*, 118**</t>
  </si>
  <si>
    <t>*Volume 100D concluded that there is sufficient evidence for ocular melanoma in welders; **Volume  118 concluded that ultraviolet emissions from welding are carcinogenic to humans (Group 1; there is  sufficient evidence in humans for the carcinogenicity of ultraviolet radiation from welding)</t>
  </si>
  <si>
    <t>Ultraviolet radiation (wavelengths 100–400 nm, encompassing UVA, UVB, and UVC) (see Ultraviolet radiation from welding; Ultraviolet-emitting tanning devices; and Solar radiation)</t>
  </si>
  <si>
    <t>Ultraviolet-emitting tanning devices (see Ultraviolet radiation (wavelengths 100–400 nm, encompassing UVA, UVB, and UVC); Ultraviolet radiation from welding; and Solar radiation)</t>
  </si>
  <si>
    <t>Urethane (see Ethyl carbamate)</t>
  </si>
  <si>
    <t>Very hot beverages at above 65 °C (drinking)</t>
  </si>
  <si>
    <t>Weapons-grade tungsten (with nickel and cobalt) alloy</t>
  </si>
  <si>
    <t>Welding fumes</t>
  </si>
  <si>
    <t>49, 118</t>
  </si>
  <si>
    <t>Wood dust</t>
  </si>
  <si>
    <t>62, 100C</t>
  </si>
  <si>
    <t>Wood smoke (see Biomass fuel, indoor emissions from household combustion)</t>
  </si>
  <si>
    <t>X- and Gamma-Radiation</t>
  </si>
  <si>
    <t>100-00-5</t>
  </si>
  <si>
    <t>4-Chloronitrobenzene</t>
  </si>
  <si>
    <t>65, 123</t>
  </si>
  <si>
    <t>100-17-4</t>
  </si>
  <si>
    <t>para-Nitroanisole</t>
  </si>
  <si>
    <t>100-40-3</t>
  </si>
  <si>
    <t>4-Vinylcyclohexene</t>
  </si>
  <si>
    <t>Sup 7, 60</t>
  </si>
  <si>
    <t>100-41-4</t>
  </si>
  <si>
    <t>Ethylbenzene</t>
  </si>
  <si>
    <t>100-42-5</t>
  </si>
  <si>
    <t>Styrene</t>
  </si>
  <si>
    <t>60, 82, 121</t>
  </si>
  <si>
    <t>100-75-4</t>
  </si>
  <si>
    <t>N-Nitrosopiperidine</t>
  </si>
  <si>
    <t>17, Sup 7</t>
  </si>
  <si>
    <t>10043-66-0</t>
  </si>
  <si>
    <t>Iodine-131 (see Radioiodines)</t>
  </si>
  <si>
    <t>10043-92-2</t>
  </si>
  <si>
    <t>Radon-222 and its decay products</t>
  </si>
  <si>
    <t>43, 78, 100D</t>
  </si>
  <si>
    <t>10048-13-2</t>
  </si>
  <si>
    <t>Sterigmatocystin</t>
  </si>
  <si>
    <t>10, Sup 7</t>
  </si>
  <si>
    <t>10048-32-5</t>
  </si>
  <si>
    <t>Parasorbic acid</t>
  </si>
  <si>
    <t>10098-97-2</t>
  </si>
  <si>
    <t>Strontium-90 (see Fission products)</t>
  </si>
  <si>
    <t>101-14-4</t>
  </si>
  <si>
    <t>4,4'-Methylenebis(2-chloroaniline) (MOCA)</t>
  </si>
  <si>
    <t>101-21-3</t>
  </si>
  <si>
    <t>Chloropropham</t>
  </si>
  <si>
    <t>12, Sup 7</t>
  </si>
  <si>
    <t>101-25-7</t>
  </si>
  <si>
    <t>Dinitrosopentamethylenetetramine</t>
  </si>
  <si>
    <t>101-61-1</t>
  </si>
  <si>
    <t>Michler’s base [4,4´-methylenebis(N,N-dimethyl)­benzenamine]</t>
  </si>
  <si>
    <t>27, Sup 7, 99</t>
  </si>
  <si>
    <t>101-68-8</t>
  </si>
  <si>
    <t>4,4'-Methylenediphenyl diisocyanate</t>
  </si>
  <si>
    <t>19, Sup 7, 71</t>
  </si>
  <si>
    <t>101-77-9</t>
  </si>
  <si>
    <t>4,4'-Methylenedianiline</t>
  </si>
  <si>
    <t>39, Sup 7</t>
  </si>
  <si>
    <t>101-80-4</t>
  </si>
  <si>
    <t>4,4'-Diaminodiphenyl ether</t>
  </si>
  <si>
    <t>29, Sup 7</t>
  </si>
  <si>
    <t>101-90-6</t>
  </si>
  <si>
    <t>Diglycidyl resorcinol ether</t>
  </si>
  <si>
    <t>36, Sup 7, 71</t>
  </si>
  <si>
    <t>101043-37-2</t>
  </si>
  <si>
    <t>Microcystin-LR</t>
  </si>
  <si>
    <t>102-50-1</t>
  </si>
  <si>
    <t>meta-Cresidine</t>
  </si>
  <si>
    <t>27, Sup 7</t>
  </si>
  <si>
    <t>Triethanolamine</t>
  </si>
  <si>
    <t>103-03-7</t>
  </si>
  <si>
    <t>Phenicarbazide</t>
  </si>
  <si>
    <t>103-11-7</t>
  </si>
  <si>
    <t>2-Ethylhexyl acrylate</t>
  </si>
  <si>
    <t>60, 122</t>
  </si>
  <si>
    <t>103-23-1</t>
  </si>
  <si>
    <t>Di(2-ethylhexyl) adipate</t>
  </si>
  <si>
    <t>Sup 7, 77</t>
  </si>
  <si>
    <t>103-33-3</t>
  </si>
  <si>
    <t>Azobenzene</t>
  </si>
  <si>
    <t>8, Sup 7</t>
  </si>
  <si>
    <t>103-90-2</t>
  </si>
  <si>
    <t>Acetaminophen (see Paracetamol)</t>
  </si>
  <si>
    <t>Paracetamol (Acetaminophen)</t>
  </si>
  <si>
    <t>50, 73</t>
  </si>
  <si>
    <t>10380-28-6</t>
  </si>
  <si>
    <t>Copper 8-hydroxyquinoline</t>
  </si>
  <si>
    <t>15, Sup 7</t>
  </si>
  <si>
    <t>104-94-9</t>
  </si>
  <si>
    <t>para-Anisidine</t>
  </si>
  <si>
    <t>105-11-3</t>
  </si>
  <si>
    <t>para-Benzoquinone dioxime</t>
  </si>
  <si>
    <t>29, Sup 7, 71</t>
  </si>
  <si>
    <t>105-55-5</t>
  </si>
  <si>
    <t>N,N'-Diethylthiourea</t>
  </si>
  <si>
    <t>105-60-2</t>
  </si>
  <si>
    <t>Caprolactam</t>
  </si>
  <si>
    <t>39, Sup 7, 71</t>
  </si>
  <si>
    <t>Moved to Group 3 following 2019 update to the IARC Monographs Preamble</t>
  </si>
  <si>
    <t>105-74-8</t>
  </si>
  <si>
    <t>Lauroyl peroxide</t>
  </si>
  <si>
    <t>10540-29-1</t>
  </si>
  <si>
    <t>Tamoxifen</t>
  </si>
  <si>
    <t>66, 100A</t>
  </si>
  <si>
    <t>NB There is also conclusive evidence that tamoxifen reduces the risk of contralateral breast cancer in breast cancer patients</t>
  </si>
  <si>
    <t>105650-23-5</t>
  </si>
  <si>
    <t>PhIP (2-Amino-1-methyl-6-phenylimidazo[4,5-b]pyridine)</t>
  </si>
  <si>
    <t>105735-71-5</t>
  </si>
  <si>
    <t>3,7-Dinitrofluoranthene</t>
  </si>
  <si>
    <t>46, 65, 105</t>
  </si>
  <si>
    <t>10595-95-6</t>
  </si>
  <si>
    <t>N-Nitrosomethylethylamine</t>
  </si>
  <si>
    <t>10599-90-3</t>
  </si>
  <si>
    <t>Chloramine</t>
  </si>
  <si>
    <t>106-46-7</t>
  </si>
  <si>
    <t>para-Dichlorobenzene</t>
  </si>
  <si>
    <t>Sup 7, 73</t>
  </si>
  <si>
    <t>106-47-8</t>
  </si>
  <si>
    <t>para-Chloroaniline</t>
  </si>
  <si>
    <t>106-50-3</t>
  </si>
  <si>
    <t>para-Phenylenediamine</t>
  </si>
  <si>
    <t>16, Sup 7</t>
  </si>
  <si>
    <t>106-51-4</t>
  </si>
  <si>
    <t>para-Quinone</t>
  </si>
  <si>
    <t>106-87-6</t>
  </si>
  <si>
    <t>4-Vinylcyclohexene diepoxide</t>
  </si>
  <si>
    <t>106-88-7</t>
  </si>
  <si>
    <t>1,2-Epoxybutane</t>
  </si>
  <si>
    <t>47, 71</t>
  </si>
  <si>
    <t>106-89-8</t>
  </si>
  <si>
    <t>Epichlorohydrin</t>
  </si>
  <si>
    <t>11, Sup 7, 71</t>
  </si>
  <si>
    <t>NB Overall evaluation upgraded to Group 2A with supporting evidence from other relevant data</t>
  </si>
  <si>
    <t>106-91-2</t>
  </si>
  <si>
    <t>Glycidyl methacrylate</t>
  </si>
  <si>
    <t>106-93-4</t>
  </si>
  <si>
    <t>Ethylene dibromide</t>
  </si>
  <si>
    <t>106-94-5</t>
  </si>
  <si>
    <t>1-Bromopropane</t>
  </si>
  <si>
    <t>106-99-0</t>
  </si>
  <si>
    <t>1,3-Butadiene</t>
  </si>
  <si>
    <t>Sup 7, 54, 71, 97, 100F</t>
  </si>
  <si>
    <t>107-02-8</t>
  </si>
  <si>
    <t>Acrolein</t>
  </si>
  <si>
    <t>63 (corr. 65), Sup 7, 128</t>
  </si>
  <si>
    <t>107-05-1</t>
  </si>
  <si>
    <t>Allyl chloride</t>
  </si>
  <si>
    <t>36, Sup 7, 71, 125</t>
  </si>
  <si>
    <t>107-06-2</t>
  </si>
  <si>
    <t>1,2-Dichloroethane</t>
  </si>
  <si>
    <t>20, Sup 7, 71</t>
  </si>
  <si>
    <t>107-13-1</t>
  </si>
  <si>
    <t>Acrylonitrile</t>
  </si>
  <si>
    <t>107-14-2</t>
  </si>
  <si>
    <t>Chloroacetonitrile</t>
  </si>
  <si>
    <t>52, 71</t>
  </si>
  <si>
    <t>107-30-2</t>
  </si>
  <si>
    <t>Chloromethyl methyl ether (see Bis(chloromethyl)ether; chloromethyl methyl ether)</t>
  </si>
  <si>
    <t>1071-83-6</t>
  </si>
  <si>
    <t>Glyphosate</t>
  </si>
  <si>
    <t>1072-52-2</t>
  </si>
  <si>
    <t>2-(1-Aziridinyl)ethanol</t>
  </si>
  <si>
    <t>9, Sup 7</t>
  </si>
  <si>
    <t>108-05-4</t>
  </si>
  <si>
    <t>Vinyl acetate</t>
  </si>
  <si>
    <t>Sup 7, 63</t>
  </si>
  <si>
    <t>108-10-1</t>
  </si>
  <si>
    <t>Methyl isobutyl ketone</t>
  </si>
  <si>
    <t>108-30-5</t>
  </si>
  <si>
    <t>Succinic anhydride</t>
  </si>
  <si>
    <t>108-45-2</t>
  </si>
  <si>
    <t>meta-Phenylenediamine</t>
  </si>
  <si>
    <t>108-46-3</t>
  </si>
  <si>
    <t>Resorcinol</t>
  </si>
  <si>
    <t>108-60-1</t>
  </si>
  <si>
    <t>Bis(2-chloro-1-methylethyl)ether</t>
  </si>
  <si>
    <t>41, Sup 7, 71</t>
  </si>
  <si>
    <t>108-78-1</t>
  </si>
  <si>
    <t>Melamine</t>
  </si>
  <si>
    <t>Sup 7, 73, 119</t>
  </si>
  <si>
    <t>108-88-3</t>
  </si>
  <si>
    <t>Toluene</t>
  </si>
  <si>
    <t>Cyclohexanone</t>
  </si>
  <si>
    <t>108-95-2</t>
  </si>
  <si>
    <t>Phenol</t>
  </si>
  <si>
    <t>108-99-6</t>
  </si>
  <si>
    <t>β-Picoline</t>
  </si>
  <si>
    <t>109-70-6</t>
  </si>
  <si>
    <t>1-Bromo-3-chloropropane</t>
  </si>
  <si>
    <t>109-99-9</t>
  </si>
  <si>
    <t>Tetrahydrofuran</t>
  </si>
  <si>
    <t>110-00-9</t>
  </si>
  <si>
    <t>Furan</t>
  </si>
  <si>
    <t>110-57-6</t>
  </si>
  <si>
    <t>trans-1,4-Dichlorobutene</t>
  </si>
  <si>
    <t>110-86-1</t>
  </si>
  <si>
    <t>Pyridine</t>
  </si>
  <si>
    <t>77, 119</t>
  </si>
  <si>
    <t>110-91-8</t>
  </si>
  <si>
    <t>Morpholine</t>
  </si>
  <si>
    <t>11056-06-7</t>
  </si>
  <si>
    <t>Bleomycins</t>
  </si>
  <si>
    <t>26, Sup 7</t>
  </si>
  <si>
    <t>111-42-2</t>
  </si>
  <si>
    <t>Diethanolamine</t>
  </si>
  <si>
    <t>77, 101</t>
  </si>
  <si>
    <t>111-44-4</t>
  </si>
  <si>
    <t>Bis(2-chloroethyl)ether</t>
  </si>
  <si>
    <t>9, Sup 7, 71</t>
  </si>
  <si>
    <t>2-Butoxyethanol</t>
  </si>
  <si>
    <t>111025-46-8</t>
  </si>
  <si>
    <t>Pioglitazone</t>
  </si>
  <si>
    <t>111189-32-3</t>
  </si>
  <si>
    <t>Naphtho[1,2-b]fluoranthene</t>
  </si>
  <si>
    <t>1116-54-7</t>
  </si>
  <si>
    <t>N-Nitrosodiethanolamine</t>
  </si>
  <si>
    <t>17, Sup 7, 77</t>
  </si>
  <si>
    <t>1120-71-4</t>
  </si>
  <si>
    <t>1,3-Propane sultone</t>
  </si>
  <si>
    <t>4, Sup 7, 71, 110</t>
  </si>
  <si>
    <t>1143-38-0</t>
  </si>
  <si>
    <t>Dithranol</t>
  </si>
  <si>
    <t>13; Sup 7</t>
  </si>
  <si>
    <t>115-02-6</t>
  </si>
  <si>
    <t>Azaserine</t>
  </si>
  <si>
    <t>115-07-1</t>
  </si>
  <si>
    <t>Propylene</t>
  </si>
  <si>
    <t>115-28-6</t>
  </si>
  <si>
    <t>Chlorendic acid</t>
  </si>
  <si>
    <t>115-32-2</t>
  </si>
  <si>
    <t>Dicofol</t>
  </si>
  <si>
    <t>30, Sup 7</t>
  </si>
  <si>
    <t>115-96-8</t>
  </si>
  <si>
    <t>Tris(2-chloroethyl) phosphate</t>
  </si>
  <si>
    <t>116-06-3</t>
  </si>
  <si>
    <t>Aldicarb</t>
  </si>
  <si>
    <t>116-14-3</t>
  </si>
  <si>
    <t>Tetrafluoroethylene</t>
  </si>
  <si>
    <t>19, Sup 7, 71, 110</t>
  </si>
  <si>
    <t>NB Overall evaluation upgraded to Group 2A on the basis of sufficient evidence in experimental animals with a striking and atypical pattern of tumours</t>
  </si>
  <si>
    <t>1163-19-5</t>
  </si>
  <si>
    <t>Decabromodiphenyl oxide</t>
  </si>
  <si>
    <t>116355-83-0</t>
  </si>
  <si>
    <t>Fusarium moniliforme, toxins derived from (fumonisin B1, fumonisin B2, and fusarin C)</t>
  </si>
  <si>
    <t>Fumonisin B1</t>
  </si>
  <si>
    <t>117-10-2</t>
  </si>
  <si>
    <t>Dantron (Chrysazin; 1,8-Dihydroxyanthraquinone)</t>
  </si>
  <si>
    <t>117-39-5</t>
  </si>
  <si>
    <t>Quercetin</t>
  </si>
  <si>
    <t>117-79-3</t>
  </si>
  <si>
    <t>2-Aminoanthraquinone</t>
  </si>
  <si>
    <t>117-81-7</t>
  </si>
  <si>
    <t>Bis(2-ethylhexyl) phthalate (see Di(2-ethylhexyl) phthalate)</t>
  </si>
  <si>
    <t>Di(2-ethylhexyl)phthalate</t>
  </si>
  <si>
    <t>Sup 7, 77, 101</t>
  </si>
  <si>
    <t>118-74-1</t>
  </si>
  <si>
    <t>Hexachlorobenzene</t>
  </si>
  <si>
    <t>Sup 7, 79</t>
  </si>
  <si>
    <t>118-92-3</t>
  </si>
  <si>
    <t>Anthranilic acid</t>
  </si>
  <si>
    <t>118-96-7</t>
  </si>
  <si>
    <t>2,4,6-Trinitrotoluene</t>
  </si>
  <si>
    <t>118399-22-7</t>
  </si>
  <si>
    <t>Nodularins</t>
  </si>
  <si>
    <t>119-34-6</t>
  </si>
  <si>
    <t>4-Amino-2-nitrophenol</t>
  </si>
  <si>
    <t>119-61-9</t>
  </si>
  <si>
    <t>Benzophenone</t>
  </si>
  <si>
    <t>119-90-4</t>
  </si>
  <si>
    <t>3,3'-Dimethoxybenzidine (ortho-Dianisidine)</t>
  </si>
  <si>
    <t>4, Sup 7</t>
  </si>
  <si>
    <t>119-93-7</t>
  </si>
  <si>
    <t>3,3'-Dimethylbenzidine (ortho-Tolidine)</t>
  </si>
  <si>
    <t>1, Sup 7</t>
  </si>
  <si>
    <t>120-12-7</t>
  </si>
  <si>
    <t>Anthracene</t>
  </si>
  <si>
    <t>92, Sup 7, 133</t>
  </si>
  <si>
    <t>120-58-1</t>
  </si>
  <si>
    <t>Isosafrole</t>
  </si>
  <si>
    <t>120-71-8</t>
  </si>
  <si>
    <t>para-Cresidine</t>
  </si>
  <si>
    <t>120-80-9</t>
  </si>
  <si>
    <t>Catechol</t>
  </si>
  <si>
    <t>12001-79-5</t>
  </si>
  <si>
    <t>Vitamin K substances</t>
  </si>
  <si>
    <t>12070-12-1, 7440-48-4</t>
  </si>
  <si>
    <t>Tungsten carbide with cobalt metal (see Cobalt metal with tungsten carbide)</t>
  </si>
  <si>
    <t>121-14-2</t>
  </si>
  <si>
    <t>2,4-Dinitrotoluene</t>
  </si>
  <si>
    <t>121-66-4</t>
  </si>
  <si>
    <t>2-Amino-5-nitrothiazole</t>
  </si>
  <si>
    <t>31, Sup 7</t>
  </si>
  <si>
    <t>121-69-7</t>
  </si>
  <si>
    <t>N,N-Dimethylaniline</t>
  </si>
  <si>
    <t>121-73-3</t>
  </si>
  <si>
    <t>3-Chloronitrobenzene</t>
  </si>
  <si>
    <t>121-75-5</t>
  </si>
  <si>
    <t>Malathion</t>
  </si>
  <si>
    <t>30, Sup 7, 112</t>
  </si>
  <si>
    <t>121-88-0</t>
  </si>
  <si>
    <t>2-Amino-5-nitrophenol</t>
  </si>
  <si>
    <t>12122-67-7</t>
  </si>
  <si>
    <t>Zineb</t>
  </si>
  <si>
    <t>12174-11-7</t>
  </si>
  <si>
    <t>Attapulgite (see Palygorskite)</t>
  </si>
  <si>
    <t>Palygorskite (Attapulgite) (long fibres, &gt; 5 micrometres)</t>
  </si>
  <si>
    <t>Palygorskite (Attapulgite)(short fibres, &lt; 5 micrometres)</t>
  </si>
  <si>
    <t>12192-57-3</t>
  </si>
  <si>
    <t>Aurothioglucose</t>
  </si>
  <si>
    <t>13, Sup 7</t>
  </si>
  <si>
    <t>122-34-9</t>
  </si>
  <si>
    <t>Simazine</t>
  </si>
  <si>
    <t>53, 73</t>
  </si>
  <si>
    <t>122-39-4</t>
  </si>
  <si>
    <t>Diphenylamine</t>
  </si>
  <si>
    <t>2022 online</t>
  </si>
  <si>
    <t>122-42-9</t>
  </si>
  <si>
    <t>Propham</t>
  </si>
  <si>
    <t>122-60-1</t>
  </si>
  <si>
    <t>Phenyl glycidyl ether</t>
  </si>
  <si>
    <t>122-66-7</t>
  </si>
  <si>
    <t>1,2-Diphenylhydrazine</t>
  </si>
  <si>
    <t>122320-73-4</t>
  </si>
  <si>
    <t>Rosiglitazone</t>
  </si>
  <si>
    <t>123-31-9</t>
  </si>
  <si>
    <t>Hydroquinone</t>
  </si>
  <si>
    <t>123-33-1</t>
  </si>
  <si>
    <t>Maleic hydrazide</t>
  </si>
  <si>
    <t>123-35-3</t>
  </si>
  <si>
    <t>β-Myrcene</t>
  </si>
  <si>
    <t>123-91-1</t>
  </si>
  <si>
    <t>1,4-Dioxane</t>
  </si>
  <si>
    <t>124-48-1</t>
  </si>
  <si>
    <t>Chlorodibromomethane</t>
  </si>
  <si>
    <t>124-58-3</t>
  </si>
  <si>
    <t>Methylarsonic acid</t>
  </si>
  <si>
    <t>Monomethylarsonic acid (see Methylarsonic acid)</t>
  </si>
  <si>
    <t>12427-38-2</t>
  </si>
  <si>
    <t>Maneb</t>
  </si>
  <si>
    <t>125-33-7</t>
  </si>
  <si>
    <t>Primidone</t>
  </si>
  <si>
    <t>126-07-8</t>
  </si>
  <si>
    <t>Griseofulvin</t>
  </si>
  <si>
    <t>126-72-7</t>
  </si>
  <si>
    <t>Tris(2,3-dibromopropyl) phosphate</t>
  </si>
  <si>
    <t>126-85-2</t>
  </si>
  <si>
    <t>Nitrogen mustard N-oxide</t>
  </si>
  <si>
    <t>126-99-8</t>
  </si>
  <si>
    <t>Chloroprene</t>
  </si>
  <si>
    <t>Sup 7, 71</t>
  </si>
  <si>
    <t>12663-46-6</t>
  </si>
  <si>
    <t>Cyclochlorotine</t>
  </si>
  <si>
    <t>127-07-1</t>
  </si>
  <si>
    <t>Hydroxyurea</t>
  </si>
  <si>
    <t>127-18-4</t>
  </si>
  <si>
    <t>Tetrachloroethylene (Perchloroethylene)</t>
  </si>
  <si>
    <t>Sup 7, 63, 106</t>
  </si>
  <si>
    <t>127-19-5</t>
  </si>
  <si>
    <t>N,N-Dimethylacetamide</t>
  </si>
  <si>
    <t>127-69-5</t>
  </si>
  <si>
    <t>Sulfafurazole (Sulfisoxazole)</t>
  </si>
  <si>
    <t>128-37-0</t>
  </si>
  <si>
    <t>Butylated hydroxytoluene (BHT)</t>
  </si>
  <si>
    <t>128-66-5</t>
  </si>
  <si>
    <t>Vat Yellow 4</t>
  </si>
  <si>
    <t>129-00-0</t>
  </si>
  <si>
    <t>Pyrene</t>
  </si>
  <si>
    <t>Sup 7, 92</t>
  </si>
  <si>
    <t>129-15-7</t>
  </si>
  <si>
    <t>2-Methyl-1-nitroanthraquinone (uncertain purity)</t>
  </si>
  <si>
    <t>129-17-9</t>
  </si>
  <si>
    <t>Blue VRS</t>
  </si>
  <si>
    <t>129-20-4</t>
  </si>
  <si>
    <t>Oxyphenbutazone</t>
  </si>
  <si>
    <t>129-43-1</t>
  </si>
  <si>
    <t>1-Hydroxyanthraquinone</t>
  </si>
  <si>
    <t>129-73-7</t>
  </si>
  <si>
    <t>Leucomalachite green (see also Malachite green)</t>
  </si>
  <si>
    <t>13010-47-4</t>
  </si>
  <si>
    <t>1-(2-Chloroethyl)-3-cyclohexyl-1-nitrosourea (CCNU)</t>
  </si>
  <si>
    <t>1303-00-0</t>
  </si>
  <si>
    <t>Gallium arsenide (see Arsenic and inorganic arsenic compounds)</t>
  </si>
  <si>
    <t>86, 100C</t>
  </si>
  <si>
    <t>13045-94-8</t>
  </si>
  <si>
    <t>Medphalan</t>
  </si>
  <si>
    <t>1307-96-6</t>
  </si>
  <si>
    <t>Cobalt(II) oxide</t>
  </si>
  <si>
    <t>52, 131</t>
  </si>
  <si>
    <t>1308-06-1</t>
  </si>
  <si>
    <t>Cobalt(II,III) oxide</t>
  </si>
  <si>
    <t>1309-37-1</t>
  </si>
  <si>
    <t>Ferric oxide</t>
  </si>
  <si>
    <t>1309-64-4</t>
  </si>
  <si>
    <t>Antimony trioxide, see Trivalent antimony</t>
  </si>
  <si>
    <t>131-79-3</t>
  </si>
  <si>
    <t>Yellow OB</t>
  </si>
  <si>
    <t>1313-27-5</t>
  </si>
  <si>
    <t>Molybdenum trioxide</t>
  </si>
  <si>
    <t>1314-62-1</t>
  </si>
  <si>
    <t>Vanadium pentoxide</t>
  </si>
  <si>
    <t>1317-42-6</t>
  </si>
  <si>
    <t>Cobalt(II) sulfide</t>
  </si>
  <si>
    <t>1317-60-8</t>
  </si>
  <si>
    <t>Haematite</t>
  </si>
  <si>
    <t>1318-02-1</t>
  </si>
  <si>
    <t>Zeolites other than erionite (clinoptilolite, phillipsite,mordenite, non-fibrous Japanese zeolite, synthetic zeolites)</t>
  </si>
  <si>
    <t>132-27-4</t>
  </si>
  <si>
    <t>Sodium ortho-phenylphenate</t>
  </si>
  <si>
    <t>132-65-0</t>
  </si>
  <si>
    <t>Dibenzothiophene</t>
  </si>
  <si>
    <t>13233-32-4</t>
  </si>
  <si>
    <t>Radium-224 and its decay products</t>
  </si>
  <si>
    <t>13256-22-9</t>
  </si>
  <si>
    <t>N-Nitrososarcosine</t>
  </si>
  <si>
    <t>13292-46-1</t>
  </si>
  <si>
    <t>Rifampicin</t>
  </si>
  <si>
    <t>133-06-2</t>
  </si>
  <si>
    <t>Captan</t>
  </si>
  <si>
    <t>Xylenes</t>
  </si>
  <si>
    <t>1332-21-4, 12172-73-5, 12001-29-5, 12001-28-4</t>
  </si>
  <si>
    <t>Asbestos (all forms, including actinolite, amosite, anthophyllite, chrysotile, crocidolite, tremolite)</t>
  </si>
  <si>
    <t>14, Sup 7, 100C</t>
  </si>
  <si>
    <t>NB Mineral substances (e.g. talc or vermiculite) that contain asbestos should also be regarded as carcinogenic to humans *The presence of an asterisk indicates that the registration is for a substance which CAS does not treat in its regular CA index</t>
  </si>
  <si>
    <t>1333-86-4</t>
  </si>
  <si>
    <t>Carbon black</t>
  </si>
  <si>
    <t>Sup 7, 65, 93</t>
  </si>
  <si>
    <t>1336-36-3</t>
  </si>
  <si>
    <t>Polychlorinated biphenyls</t>
  </si>
  <si>
    <t>18, Sup 7, 107</t>
  </si>
  <si>
    <t>1338-16-5</t>
  </si>
  <si>
    <t>Iron sorbitol-citric acid complex</t>
  </si>
  <si>
    <t>2, Sup 7</t>
  </si>
  <si>
    <t>134-29-2</t>
  </si>
  <si>
    <t>ortho-Anisidine hydrochloride (see also ortho-Anisidine)</t>
  </si>
  <si>
    <t>134-32-7</t>
  </si>
  <si>
    <t>1-Naphthylamine</t>
  </si>
  <si>
    <t>1345-04-6</t>
  </si>
  <si>
    <t>Antimony trisulfide, see Trivalent antimony</t>
  </si>
  <si>
    <t>13463-67-7</t>
  </si>
  <si>
    <t>Titanium dioxide</t>
  </si>
  <si>
    <t>47, 93</t>
  </si>
  <si>
    <t>13483-18-6</t>
  </si>
  <si>
    <t>1,2-Bis(chloromethoxy)ethane</t>
  </si>
  <si>
    <t>15; Sup 7, 71</t>
  </si>
  <si>
    <t>135-20-6</t>
  </si>
  <si>
    <t>Cupferron</t>
  </si>
  <si>
    <t>135-88-6</t>
  </si>
  <si>
    <t>N-Phenyl-2-naphthylamine</t>
  </si>
  <si>
    <t>136-40-3</t>
  </si>
  <si>
    <t>Phenazopyridine hydrochloride</t>
  </si>
  <si>
    <t>137-17-7</t>
  </si>
  <si>
    <t>2,4,5-Trimethylaniline</t>
  </si>
  <si>
    <t>137-26-8</t>
  </si>
  <si>
    <t>Thiram</t>
  </si>
  <si>
    <t>Sup 7, 53</t>
  </si>
  <si>
    <t>137-30-4</t>
  </si>
  <si>
    <t>Ziram</t>
  </si>
  <si>
    <t>138-59-0</t>
  </si>
  <si>
    <t>Shikimic acid</t>
  </si>
  <si>
    <t>139-05-9</t>
  </si>
  <si>
    <t>Cyclamates (sodium cyclamate)</t>
  </si>
  <si>
    <t>139-13-9</t>
  </si>
  <si>
    <t>Nitrilotriacetic acid and its salts</t>
  </si>
  <si>
    <t>48, 73</t>
  </si>
  <si>
    <t>139-65-1</t>
  </si>
  <si>
    <t>4,4'-Thiodianiline</t>
  </si>
  <si>
    <t>139-94-6</t>
  </si>
  <si>
    <t>Nithiazide</t>
  </si>
  <si>
    <t>13909-09-6</t>
  </si>
  <si>
    <t>1-(2-Chloroethyl)-3-(4-methylcyclohexyl)-1-nitrosourea (Methyl-CCNU) (see Semustine)</t>
  </si>
  <si>
    <t>Semustine [1-(2-Chloroethyl)-3-(4-methylcyclohexyl)-1-nitrosourea, Methyl-CCNU]</t>
  </si>
  <si>
    <t>13982-63-3</t>
  </si>
  <si>
    <t>Radium-226 and its decay products</t>
  </si>
  <si>
    <t>13983-17-0</t>
  </si>
  <si>
    <t>Wollastonite</t>
  </si>
  <si>
    <t>Sup 7, 68</t>
  </si>
  <si>
    <t>140-11-4</t>
  </si>
  <si>
    <t>Benzyl acetate</t>
  </si>
  <si>
    <t>40, Sup 7, 71</t>
  </si>
  <si>
    <t>140-56-7</t>
  </si>
  <si>
    <t>para-Dimethylaminoazobenzenediazo sodium sulfonate</t>
  </si>
  <si>
    <t>140-57-8</t>
  </si>
  <si>
    <t>Aramite®</t>
  </si>
  <si>
    <t>5, Sup 7</t>
  </si>
  <si>
    <t>140-88-5</t>
  </si>
  <si>
    <t>Ethyl acrylate</t>
  </si>
  <si>
    <t>39, Sup 7, 71, 122</t>
  </si>
  <si>
    <t>1401-55-4</t>
  </si>
  <si>
    <t>Tannic acid and tannins</t>
  </si>
  <si>
    <t>1402-68-2</t>
  </si>
  <si>
    <t>Aflatoxins</t>
  </si>
  <si>
    <t>Sup 7, 56, 82, 100F</t>
  </si>
  <si>
    <t>14047-09-7</t>
  </si>
  <si>
    <t>3,3′,4,4′-Tetrachloroazobenzene</t>
  </si>
  <si>
    <t>NB Overall evaluation upgraded to Group 2A</t>
  </si>
  <si>
    <t>141-32-2</t>
  </si>
  <si>
    <t>n-Butyl acrylate</t>
  </si>
  <si>
    <t>141-37-7</t>
  </si>
  <si>
    <t>3,4-Epoxy-6-methylcyclohexylmethyl-3,4-epoxy-6-methylcyclo-hexanecarboxylate</t>
  </si>
  <si>
    <t>141-90-2</t>
  </si>
  <si>
    <t>Thiouracil</t>
  </si>
  <si>
    <t>142-04-1</t>
  </si>
  <si>
    <t>Aniline hydrochloride (see also Aniline)</t>
  </si>
  <si>
    <t>142-83-6</t>
  </si>
  <si>
    <t>2,4-Hexadienal</t>
  </si>
  <si>
    <t>143-50-0</t>
  </si>
  <si>
    <t>Chlordecone (Kepone)</t>
  </si>
  <si>
    <t>143-67-9</t>
  </si>
  <si>
    <t>Vinblastine sulfate</t>
  </si>
  <si>
    <t>144-34-3</t>
  </si>
  <si>
    <t>Methyl selenac</t>
  </si>
  <si>
    <t>14484-64-1</t>
  </si>
  <si>
    <t>Ferbam</t>
  </si>
  <si>
    <t>14596-37-3</t>
  </si>
  <si>
    <t>Phosphorus-32, as phosphate</t>
  </si>
  <si>
    <t>1464-53-5</t>
  </si>
  <si>
    <t>1,2:3,4-Diepoxybutane (see Monographs on 1,3-Butadiene)</t>
  </si>
  <si>
    <t>148-18-5</t>
  </si>
  <si>
    <t>Sodium diethyldithiocarbamate</t>
  </si>
  <si>
    <t>148-24-3</t>
  </si>
  <si>
    <t>8-Hydroxyquinoline</t>
  </si>
  <si>
    <t>148-82-3</t>
  </si>
  <si>
    <t>Melphalan</t>
  </si>
  <si>
    <t>9, Sup 7, 100A</t>
  </si>
  <si>
    <t>14807-96-6</t>
  </si>
  <si>
    <t>Talc containing asbestiform fibres (see Asbestos)</t>
  </si>
  <si>
    <t>42, Sup 7</t>
  </si>
  <si>
    <t>Talc not containing asbestos or asbestiform fibres</t>
  </si>
  <si>
    <t>42, Sup 7, 93</t>
  </si>
  <si>
    <t>Talc-based body powder (perineal use of)</t>
  </si>
  <si>
    <t>14808-60-7</t>
  </si>
  <si>
    <t>Silica dust, crystalline, in the form of quartz or cristobalite</t>
  </si>
  <si>
    <t>Sup 7, 68, 100C</t>
  </si>
  <si>
    <t>149-29-1</t>
  </si>
  <si>
    <t>Patulin</t>
  </si>
  <si>
    <t>149-30-4</t>
  </si>
  <si>
    <t>2-Mercaptobenzothiazole</t>
  </si>
  <si>
    <t>14901-08-7</t>
  </si>
  <si>
    <t>Cycasin</t>
  </si>
  <si>
    <t>150-13-0</t>
  </si>
  <si>
    <t>para-Aminobenzoic acid</t>
  </si>
  <si>
    <t>150-68-5</t>
  </si>
  <si>
    <t>Monuron</t>
  </si>
  <si>
    <t>150-69-6</t>
  </si>
  <si>
    <t>Dulcin</t>
  </si>
  <si>
    <t>15086-94-9</t>
  </si>
  <si>
    <t>Eosin</t>
  </si>
  <si>
    <t>151-56-4</t>
  </si>
  <si>
    <t>Aziridine</t>
  </si>
  <si>
    <t>15262-20-1</t>
  </si>
  <si>
    <t>Radium-228 and its decay products</t>
  </si>
  <si>
    <t>154-93-8</t>
  </si>
  <si>
    <t>Bischloroethyl nitrosourea (BCNU)</t>
  </si>
  <si>
    <t>15501-74-3</t>
  </si>
  <si>
    <t>Sepiolite</t>
  </si>
  <si>
    <t>15503-86-3</t>
  </si>
  <si>
    <t>Isatidine</t>
  </si>
  <si>
    <t>156-10-5</t>
  </si>
  <si>
    <t>para-Nitrosodiphenylamine</t>
  </si>
  <si>
    <t>156-51-4</t>
  </si>
  <si>
    <t>Phenelzine sulfate</t>
  </si>
  <si>
    <t>15625-89-5</t>
  </si>
  <si>
    <t>Trimethylolpropane triacrylate, technical grade</t>
  </si>
  <si>
    <t>15663-27-1</t>
  </si>
  <si>
    <t>Cisplatin</t>
  </si>
  <si>
    <t>15721-02-5</t>
  </si>
  <si>
    <t>2,2',5,5'-Tetrachlorobenzidine</t>
  </si>
  <si>
    <t>1582-09-8</t>
  </si>
  <si>
    <t>Trifluralin</t>
  </si>
  <si>
    <t>16065-83-1</t>
  </si>
  <si>
    <t>Chromium (III) compounds</t>
  </si>
  <si>
    <t>16071-86-6</t>
  </si>
  <si>
    <t>CI Direct Brown 95 (see Benzidine, dyes metabolized to)</t>
  </si>
  <si>
    <t>1615-80-1</t>
  </si>
  <si>
    <t>1,2-Diethylhydrazine</t>
  </si>
  <si>
    <t>4, Sup 7, 71</t>
  </si>
  <si>
    <t>1634-04-4</t>
  </si>
  <si>
    <t>Methyl tert-butyl ether</t>
  </si>
  <si>
    <t>16543-55-8, 64091-91-4</t>
  </si>
  <si>
    <t>N'-Nitrosonornicotine (NNN) and 4-(N-Nitrosomethylamino)-1-(3-pyridyl)-1-butanone (NNK)</t>
  </si>
  <si>
    <t>16568-02-8</t>
  </si>
  <si>
    <t>Gyromitrin</t>
  </si>
  <si>
    <t>1675-54-3</t>
  </si>
  <si>
    <t>Bisphenol A diglycidyl ether (Araldite)</t>
  </si>
  <si>
    <t>1689-82-3</t>
  </si>
  <si>
    <t>4-Hydroxyazobenzene</t>
  </si>
  <si>
    <t>1694-09-3</t>
  </si>
  <si>
    <t>Benzyl violet 4B</t>
  </si>
  <si>
    <t>16984-48-8</t>
  </si>
  <si>
    <t>Fluorides (inorganic, used in drinking-water)</t>
  </si>
  <si>
    <t>1705-85-7</t>
  </si>
  <si>
    <t>6-Methylchrysene</t>
  </si>
  <si>
    <t>1706-01-0</t>
  </si>
  <si>
    <t>3-Methylfluoranthene</t>
  </si>
  <si>
    <t>17117-34-9</t>
  </si>
  <si>
    <t>3-Nitrobenzanthrone</t>
  </si>
  <si>
    <t>1746-01-6</t>
  </si>
  <si>
    <t>2,3,7,8-Tetrachlorodibenzo-para-dioxin</t>
  </si>
  <si>
    <t>Sup 7, 69, 100F</t>
  </si>
  <si>
    <t>1836-75-5</t>
  </si>
  <si>
    <t>Nitrofen (technical-grade)</t>
  </si>
  <si>
    <t>18540-29-9</t>
  </si>
  <si>
    <t>Chromium (VI) compounds</t>
  </si>
  <si>
    <t>18883-66-4</t>
  </si>
  <si>
    <t>Streptozotocin</t>
  </si>
  <si>
    <t>189-55-9</t>
  </si>
  <si>
    <t>Dibenzo[a,i]pyrene</t>
  </si>
  <si>
    <t>189-64-0</t>
  </si>
  <si>
    <t>Dibenzo[a,h]pyrene</t>
  </si>
  <si>
    <t>1897-45-6</t>
  </si>
  <si>
    <t>Chlorothalonil</t>
  </si>
  <si>
    <t>191-07-1</t>
  </si>
  <si>
    <t>Coronene</t>
  </si>
  <si>
    <t>32, Sup 7, 92</t>
  </si>
  <si>
    <t>191-24-2</t>
  </si>
  <si>
    <t>Benzo[ghi]perylene</t>
  </si>
  <si>
    <t>92, Sup 7</t>
  </si>
  <si>
    <t>191-26-4</t>
  </si>
  <si>
    <t>Anthanthrene</t>
  </si>
  <si>
    <t>191-30-0</t>
  </si>
  <si>
    <t>Dibenzo[a,l]pyrene</t>
  </si>
  <si>
    <t>1912-24-9</t>
  </si>
  <si>
    <t>Atrazine</t>
  </si>
  <si>
    <t>NB Overall evaluation downgraded to Group 3 with supporting evidence from other relevant data</t>
  </si>
  <si>
    <t>1918-02-1</t>
  </si>
  <si>
    <t>Picloram</t>
  </si>
  <si>
    <t>192-47-2</t>
  </si>
  <si>
    <t>Dibenzo[h,rst]pentaphene</t>
  </si>
  <si>
    <t>192-51-8</t>
  </si>
  <si>
    <t>Dibenzo[e,l]pyrene</t>
  </si>
  <si>
    <t>192-65-4</t>
  </si>
  <si>
    <t>Dibenzo[a,e]pyrene</t>
  </si>
  <si>
    <t>192-97-2</t>
  </si>
  <si>
    <t>Benzo[e]pyrene</t>
  </si>
  <si>
    <t>193-09-9</t>
  </si>
  <si>
    <t>Naphtho[2,3-e]pyrene</t>
  </si>
  <si>
    <t>193-39-5</t>
  </si>
  <si>
    <t>Indeno[1,2,3-cd]pyrene</t>
  </si>
  <si>
    <t>1936-15-8</t>
  </si>
  <si>
    <t>CI Orange G</t>
  </si>
  <si>
    <t>Orange G (see CI Orange G)</t>
  </si>
  <si>
    <t>1937-37-7</t>
  </si>
  <si>
    <t>CI Direct Black 38 (see Benzidine, dyes metabolized to)</t>
  </si>
  <si>
    <t>194-59-2</t>
  </si>
  <si>
    <t>7H-Dibenzo[c,g]carbazole</t>
  </si>
  <si>
    <t>32, Sup 7, 103</t>
  </si>
  <si>
    <t>195-19-7</t>
  </si>
  <si>
    <t>Benzo[c]phenanthrene</t>
  </si>
  <si>
    <t>1954-28-5</t>
  </si>
  <si>
    <t>Triethylene glycol diglycidyl ether</t>
  </si>
  <si>
    <t>196-78-1</t>
  </si>
  <si>
    <t>Benzo[g]chrysene</t>
  </si>
  <si>
    <t>198-55-0</t>
  </si>
  <si>
    <t>Perylene</t>
  </si>
  <si>
    <t>20073-24-9</t>
  </si>
  <si>
    <t>3-Carbethoxypsoralen</t>
  </si>
  <si>
    <t>202-33-5</t>
  </si>
  <si>
    <t>Benz[j]aceanthrylene</t>
  </si>
  <si>
    <t>NB Overall evaluation upgraded to Group 2B with supporting mechanistic and other relevant data</t>
  </si>
  <si>
    <t>202-94-8</t>
  </si>
  <si>
    <t>11H-Benz[bc]aceanthrylene</t>
  </si>
  <si>
    <t>202-98-2</t>
  </si>
  <si>
    <t>4H-Cyclopenta[def]chrysene</t>
  </si>
  <si>
    <t>20268-51-3</t>
  </si>
  <si>
    <t>7-Nitrobenz[a]anthracene</t>
  </si>
  <si>
    <t>203-12-3</t>
  </si>
  <si>
    <t>Benzo[ghi]fluoranthene</t>
  </si>
  <si>
    <t>203-20-3</t>
  </si>
  <si>
    <t>Naphtho[2,1-a]fluoranthene</t>
  </si>
  <si>
    <t>203-33-8</t>
  </si>
  <si>
    <t>Benzo[a]fluoranthene</t>
  </si>
  <si>
    <t>205-12-9</t>
  </si>
  <si>
    <t>Benzo[c]fluorene</t>
  </si>
  <si>
    <t>205-82-3</t>
  </si>
  <si>
    <t>Benzo[j]fluoranthene</t>
  </si>
  <si>
    <t>205-99-2</t>
  </si>
  <si>
    <t>Benzo[b]fluoranthene</t>
  </si>
  <si>
    <t>20589-63-3</t>
  </si>
  <si>
    <t>3-Nitroperylene</t>
  </si>
  <si>
    <t>206-44-0</t>
  </si>
  <si>
    <t>Fluoranthene</t>
  </si>
  <si>
    <t>2068-78-2</t>
  </si>
  <si>
    <t>Vincristine sulfate</t>
  </si>
  <si>
    <t>207-08-9</t>
  </si>
  <si>
    <t>Benzo[k]fluoranthene</t>
  </si>
  <si>
    <t>207-83-0</t>
  </si>
  <si>
    <t>13H-Dibenzo[a,g]fluorene</t>
  </si>
  <si>
    <t>20830-75-5</t>
  </si>
  <si>
    <t>Digoxin</t>
  </si>
  <si>
    <t>20830-81-3</t>
  </si>
  <si>
    <t>Daunomycin</t>
  </si>
  <si>
    <t>20941-65-5</t>
  </si>
  <si>
    <t>Ethyl tellurac</t>
  </si>
  <si>
    <t>211-91-6</t>
  </si>
  <si>
    <t>Benz[l]aceanthrylene</t>
  </si>
  <si>
    <t>21259-20-1</t>
  </si>
  <si>
    <t>T2-Trichothecene</t>
  </si>
  <si>
    <t>213-46-7</t>
  </si>
  <si>
    <t>Picene</t>
  </si>
  <si>
    <t>214-17-5</t>
  </si>
  <si>
    <t>Benzo[b]chrysene</t>
  </si>
  <si>
    <t>215-58-7</t>
  </si>
  <si>
    <t>Dibenz[a,c]anthracene</t>
  </si>
  <si>
    <t>2164-17-2</t>
  </si>
  <si>
    <t>Fluometuron</t>
  </si>
  <si>
    <t>2168-68-5</t>
  </si>
  <si>
    <t>Bis(1-aziridinyl)morpholinophosphine sulfide</t>
  </si>
  <si>
    <t>217-59-4</t>
  </si>
  <si>
    <t>Triphenylene</t>
  </si>
  <si>
    <t>218-01-9</t>
  </si>
  <si>
    <t>Chrysene</t>
  </si>
  <si>
    <t>21884-44-6</t>
  </si>
  <si>
    <t>Luteoskyrin</t>
  </si>
  <si>
    <t>22248-79-9</t>
  </si>
  <si>
    <t>Tetrachlorvinphos</t>
  </si>
  <si>
    <t>22349-59-3</t>
  </si>
  <si>
    <t>1,4-Dimethylphenanthrene</t>
  </si>
  <si>
    <t>22398-80-7</t>
  </si>
  <si>
    <t>Indium phosphide</t>
  </si>
  <si>
    <t>224-41-9</t>
  </si>
  <si>
    <t>Dibenz[a,j]anthracene</t>
  </si>
  <si>
    <t>224-42-0</t>
  </si>
  <si>
    <t>Dibenz[a,j]acridine</t>
  </si>
  <si>
    <t>224-53-3</t>
  </si>
  <si>
    <t>Dibenz[c,h]acridine</t>
  </si>
  <si>
    <t>2243-62-1</t>
  </si>
  <si>
    <t>1,5-Naphthalenediamine</t>
  </si>
  <si>
    <t>225-11-6</t>
  </si>
  <si>
    <t>Benz[a]acridine</t>
  </si>
  <si>
    <t>225-51-4</t>
  </si>
  <si>
    <t>Benz[c]acridine</t>
  </si>
  <si>
    <t>22506-53-2</t>
  </si>
  <si>
    <t>3,9-Dinitrofluoranthene</t>
  </si>
  <si>
    <t>22571-95-5</t>
  </si>
  <si>
    <t>Symphytine</t>
  </si>
  <si>
    <t>226-36-8</t>
  </si>
  <si>
    <t>Dibenz[a,h]acridine</t>
  </si>
  <si>
    <t>22966-79-6</t>
  </si>
  <si>
    <t>Oestradiol mustard</t>
  </si>
  <si>
    <t>22975-76-4</t>
  </si>
  <si>
    <t>4,4'-Dimethylangelicin plus ultraviolet A radiation</t>
  </si>
  <si>
    <t>2303-16-4</t>
  </si>
  <si>
    <t>Diallate</t>
  </si>
  <si>
    <t>2318-18-5</t>
  </si>
  <si>
    <t>Senkirkine</t>
  </si>
  <si>
    <t>23214-92-8</t>
  </si>
  <si>
    <t>Adriamycin</t>
  </si>
  <si>
    <t>23246-96-0</t>
  </si>
  <si>
    <t>Riddelliine</t>
  </si>
  <si>
    <t>10, Sup 7, 82</t>
  </si>
  <si>
    <t>23255-93-8</t>
  </si>
  <si>
    <t>Hycanthone mesylate</t>
  </si>
  <si>
    <t>2353-45-9</t>
  </si>
  <si>
    <t>Fast Green FCF</t>
  </si>
  <si>
    <t>23537-16-8</t>
  </si>
  <si>
    <t>Rugulosin</t>
  </si>
  <si>
    <t>23746-34-1</t>
  </si>
  <si>
    <t>Potassium bis(2-hydroxyethyl)dithiocarbamate</t>
  </si>
  <si>
    <t>238-84-6</t>
  </si>
  <si>
    <t>Benzo[a]fluorene</t>
  </si>
  <si>
    <t>2385-85-5</t>
  </si>
  <si>
    <t>Mirex</t>
  </si>
  <si>
    <t>2386-90-5</t>
  </si>
  <si>
    <t>Bis(2,3-epoxycyclopentyl)ether</t>
  </si>
  <si>
    <t>239-35-0</t>
  </si>
  <si>
    <t>Benzo[b]naphtho[2,1-d]thiophene</t>
  </si>
  <si>
    <t>2425-06-1</t>
  </si>
  <si>
    <t>Captafol</t>
  </si>
  <si>
    <t>2425-85-6</t>
  </si>
  <si>
    <t>CI Pigment Red 3</t>
  </si>
  <si>
    <t>2426-08-6</t>
  </si>
  <si>
    <t>1-Butyl glycidyl ether</t>
  </si>
  <si>
    <t>2429-74-5</t>
  </si>
  <si>
    <t>CI Direct Blue 15</t>
  </si>
  <si>
    <t>243-17-4</t>
  </si>
  <si>
    <t>Benzo[b]fluorene</t>
  </si>
  <si>
    <t>2432-99-7</t>
  </si>
  <si>
    <t>11-Aminoundecanoic acid</t>
  </si>
  <si>
    <t>24560-98-3</t>
  </si>
  <si>
    <t>cis-9,10-Epoxystearic acid</t>
  </si>
  <si>
    <t>2475-45-8</t>
  </si>
  <si>
    <t>Disperse Blue 1</t>
  </si>
  <si>
    <t>24938-64-5</t>
  </si>
  <si>
    <t>para-Aramid fibrils</t>
  </si>
  <si>
    <t>25013-15-4</t>
  </si>
  <si>
    <t>Vinyl toluene</t>
  </si>
  <si>
    <t>25013-16-5</t>
  </si>
  <si>
    <t>Butylated hydroxyanisole (BHA)</t>
  </si>
  <si>
    <t>25038-54-4</t>
  </si>
  <si>
    <t>Nylon 6</t>
  </si>
  <si>
    <t>25732-74-5</t>
  </si>
  <si>
    <t>Acepyrene (3,4-dihydrocyclopenta[cd]pyrene)</t>
  </si>
  <si>
    <t>25812-30-0</t>
  </si>
  <si>
    <t>Gemfibrozil</t>
  </si>
  <si>
    <t>25962-77-0</t>
  </si>
  <si>
    <t>trans-2-[(Dimethylamino)methylimino]-5-[2-(5-nitro-2-furyl)-vinyl]-1,3,4-oxadiazole</t>
  </si>
  <si>
    <t>7, Sup 7</t>
  </si>
  <si>
    <t>2602-46-2</t>
  </si>
  <si>
    <t>CI Direct Blue 6 (see Benzidine, dyes metabolized to)</t>
  </si>
  <si>
    <t>26148-68-5</t>
  </si>
  <si>
    <t>A-alpha-C (2-Amino-9H-pyrido[2,3-b]indole)</t>
  </si>
  <si>
    <t>262-12-4</t>
  </si>
  <si>
    <t>Dibenzo-para-dioxin</t>
  </si>
  <si>
    <t>26308-28-1</t>
  </si>
  <si>
    <t>Ripazepam</t>
  </si>
  <si>
    <t>2646-17-5</t>
  </si>
  <si>
    <t>Oil Orange SS</t>
  </si>
  <si>
    <t>26471-62-5</t>
  </si>
  <si>
    <t>Toluene diisocyanates</t>
  </si>
  <si>
    <t>26782-43-4</t>
  </si>
  <si>
    <t>Hydroxysenkirkine</t>
  </si>
  <si>
    <t>271-89-6</t>
  </si>
  <si>
    <t>Benzofuran</t>
  </si>
  <si>
    <t>27208-37-3</t>
  </si>
  <si>
    <t>Cyclopenta[cd]pyrene</t>
  </si>
  <si>
    <t>2757-90-6</t>
  </si>
  <si>
    <t>Agaritine</t>
  </si>
  <si>
    <t>2783-94-0</t>
  </si>
  <si>
    <t>Sunset Yellow FCF</t>
  </si>
  <si>
    <t>2784-94-3</t>
  </si>
  <si>
    <t>HC Blue No. 1</t>
  </si>
  <si>
    <t>2832-40-8</t>
  </si>
  <si>
    <t>Disperse Yellow 3</t>
  </si>
  <si>
    <t>2835-39-4</t>
  </si>
  <si>
    <t>Allyl isovalerate</t>
  </si>
  <si>
    <t>28407-37-6</t>
  </si>
  <si>
    <t>CI Direct Blue 218</t>
  </si>
  <si>
    <t>28434-86-8</t>
  </si>
  <si>
    <t>3,3'-Dichloro-4,4'-diaminodiphenyl ether</t>
  </si>
  <si>
    <t>2871-01-4</t>
  </si>
  <si>
    <t>HC Red No. 3</t>
  </si>
  <si>
    <t>29069-24-7</t>
  </si>
  <si>
    <t>Prednimustine</t>
  </si>
  <si>
    <t>29291-35-8</t>
  </si>
  <si>
    <t>N-Nitrosofolic acid</t>
  </si>
  <si>
    <t>2955-38-6</t>
  </si>
  <si>
    <t>Prazepam</t>
  </si>
  <si>
    <t>2973-10-6</t>
  </si>
  <si>
    <t>Diisopropyl sulfate</t>
  </si>
  <si>
    <t>54, 71</t>
  </si>
  <si>
    <t>29767-20-2</t>
  </si>
  <si>
    <t>Teniposide</t>
  </si>
  <si>
    <t>298-00-0</t>
  </si>
  <si>
    <t>Methyl parathion</t>
  </si>
  <si>
    <t>298-81-7</t>
  </si>
  <si>
    <t>Methoxsalen (8-methoxypsoralen) plus ultraviolet A radiation</t>
  </si>
  <si>
    <t>24, Sup 7, 100A</t>
  </si>
  <si>
    <t>299-75-2</t>
  </si>
  <si>
    <t>Treosulfan</t>
  </si>
  <si>
    <t>26, Sup 7, 100A</t>
  </si>
  <si>
    <t>29975-16-4</t>
  </si>
  <si>
    <t>Estazolam</t>
  </si>
  <si>
    <t>3018-12-0</t>
  </si>
  <si>
    <t>Dichloroacetonitrile</t>
  </si>
  <si>
    <t>302-01-2</t>
  </si>
  <si>
    <t>Hydrazine</t>
  </si>
  <si>
    <t>4, Sup 7, 71, 115</t>
  </si>
  <si>
    <t>302-17-0</t>
  </si>
  <si>
    <t>Chloral hydrate</t>
  </si>
  <si>
    <t>63, 84, 106</t>
  </si>
  <si>
    <t>303-34-4</t>
  </si>
  <si>
    <t>Lasiocarpine</t>
  </si>
  <si>
    <t>303-47-9</t>
  </si>
  <si>
    <t>Ochratoxin A</t>
  </si>
  <si>
    <t>30310-80-6</t>
  </si>
  <si>
    <t>N-Nitrosohydroxyproline</t>
  </si>
  <si>
    <t>305-03-3</t>
  </si>
  <si>
    <t>Chlorambucil</t>
  </si>
  <si>
    <t>30516-87-1</t>
  </si>
  <si>
    <t>Zidovudine (AZT)</t>
  </si>
  <si>
    <t>3068-88-0</t>
  </si>
  <si>
    <t>beta-Butyrolactone</t>
  </si>
  <si>
    <t>308068-56-6</t>
  </si>
  <si>
    <t>Carbon nanotubes, multiwalled MWCNT-7</t>
  </si>
  <si>
    <t>Carbon nanotubes, multiwalled, other than MWCNT-7</t>
  </si>
  <si>
    <t>Carbon nanotubes, single-walled</t>
  </si>
  <si>
    <t>Multiwalled carbon nanotubes MWCNT-7 (see Carbon nanotubes, multiwalled MWCNT-7)</t>
  </si>
  <si>
    <t>Multiwalled carbon nanotubes other than MWCNT-7 (see Carbon nanotubes, multiwalled, other than MWCNT-7)</t>
  </si>
  <si>
    <t>Single-walled carbon nanotubes (see Carbon nanotubes, single-walled)</t>
  </si>
  <si>
    <t>308076-74-6</t>
  </si>
  <si>
    <t>Silicon carbide, fibrous</t>
  </si>
  <si>
    <t>309-00-2</t>
  </si>
  <si>
    <t>Aldrin (see Dieldrin, and aldrin metabolized to dieldrin)</t>
  </si>
  <si>
    <t>3118-97-6</t>
  </si>
  <si>
    <t>Sudan II</t>
  </si>
  <si>
    <t>313-67-7</t>
  </si>
  <si>
    <t>Aristolochic acid</t>
  </si>
  <si>
    <t>82, 100A</t>
  </si>
  <si>
    <t>Aristolochic acid, plants containing</t>
  </si>
  <si>
    <t>314-13-6</t>
  </si>
  <si>
    <t>Evans blue</t>
  </si>
  <si>
    <t>315-18-4</t>
  </si>
  <si>
    <t>Zectran</t>
  </si>
  <si>
    <t>315-22-0</t>
  </si>
  <si>
    <t>Monocrotaline</t>
  </si>
  <si>
    <t>3173-72-6</t>
  </si>
  <si>
    <t>1,5-Naphthalene diisocyanate</t>
  </si>
  <si>
    <t>320-67-2</t>
  </si>
  <si>
    <t>Azacitidine</t>
  </si>
  <si>
    <t>3252-43-5</t>
  </si>
  <si>
    <t>Dibromoacetonitrile</t>
  </si>
  <si>
    <t>52, 71, 101</t>
  </si>
  <si>
    <t>3296-90-0</t>
  </si>
  <si>
    <t>2,2-Bis(bromomethyl)propane-1,3-diol</t>
  </si>
  <si>
    <t>331-39-5</t>
  </si>
  <si>
    <t>Caffeic acid</t>
  </si>
  <si>
    <t>33229-34-4</t>
  </si>
  <si>
    <t>HC Blue No. 2</t>
  </si>
  <si>
    <t>333-41-5</t>
  </si>
  <si>
    <t>Diazinon</t>
  </si>
  <si>
    <t>NB Overall evaluation upgraded to Group 2A based on mechanistic evidence</t>
  </si>
  <si>
    <t>334-88-3</t>
  </si>
  <si>
    <t>Diazomethane</t>
  </si>
  <si>
    <t>33419-42-0</t>
  </si>
  <si>
    <t>Etoposide</t>
  </si>
  <si>
    <t>76, 100A</t>
  </si>
  <si>
    <t>33419-42-0, 15663-27-1, 11056-06-7</t>
  </si>
  <si>
    <t>Etoposide in combination with cisplatin and bleomycin</t>
  </si>
  <si>
    <t>335-67-1</t>
  </si>
  <si>
    <t>Perfluorooctanoic acid (PFOA)</t>
  </si>
  <si>
    <t>3351-28-8</t>
  </si>
  <si>
    <t>1-Methylchrysene</t>
  </si>
  <si>
    <t>3351-30-2</t>
  </si>
  <si>
    <t>4-Methylchrysene</t>
  </si>
  <si>
    <t>3351-31-3</t>
  </si>
  <si>
    <t>3-Methylchrysene</t>
  </si>
  <si>
    <t>3351-32-4</t>
  </si>
  <si>
    <t>2-Methylchrysene</t>
  </si>
  <si>
    <t>33543-31-6</t>
  </si>
  <si>
    <t>2-Methylfluoranthene</t>
  </si>
  <si>
    <t>3564-09-8</t>
  </si>
  <si>
    <t>Ponceau 3R</t>
  </si>
  <si>
    <t>3567-69-9</t>
  </si>
  <si>
    <t>Carmoisine</t>
  </si>
  <si>
    <t>3570-75-0</t>
  </si>
  <si>
    <t>2-(2-Formylhydrazino)-4-(5-nitro-2-furyl)thiazole</t>
  </si>
  <si>
    <t>366-70-1</t>
  </si>
  <si>
    <t>Procarbazine hydrochloride</t>
  </si>
  <si>
    <t>3688-53-7</t>
  </si>
  <si>
    <t>AF-2 [2-(2-Furyl)-3-(5-nitro-2-furyl)acrylamide]</t>
  </si>
  <si>
    <t>3697-24-3</t>
  </si>
  <si>
    <t>5-Methylchrysene</t>
  </si>
  <si>
    <t>37319-17-8</t>
  </si>
  <si>
    <t>Pentosan polysulfate sodium</t>
  </si>
  <si>
    <t>3761-53-3</t>
  </si>
  <si>
    <t>Ponceau MX</t>
  </si>
  <si>
    <t>37620-20-5</t>
  </si>
  <si>
    <t>N'-Nitrosoanabasine (NAB)</t>
  </si>
  <si>
    <t>37, Sup 7, 89</t>
  </si>
  <si>
    <t>3771-19-5</t>
  </si>
  <si>
    <t>Nafenopin</t>
  </si>
  <si>
    <t>3778-73-2</t>
  </si>
  <si>
    <t>Isophosphamide</t>
  </si>
  <si>
    <t>3795-88-8</t>
  </si>
  <si>
    <t>5-(Morpholinomethyl)-3-[(5-nitrofurfurylidene)­amino]-2-oxazolidinone</t>
  </si>
  <si>
    <t>3844-45-9</t>
  </si>
  <si>
    <t>Brilliant Blue FCF, disodium salt</t>
  </si>
  <si>
    <t>38571-73-2</t>
  </si>
  <si>
    <t>1,2,3-Tris(chloromethoxy)propane</t>
  </si>
  <si>
    <t>3902-71-4</t>
  </si>
  <si>
    <t>4,5',8-Trimethylpsoralen</t>
  </si>
  <si>
    <t>396-01-0</t>
  </si>
  <si>
    <t>Triamterene</t>
  </si>
  <si>
    <t>4063-41-6</t>
  </si>
  <si>
    <t>4,5'-Dimethylangelicin plus ultraviolet A radiation</t>
  </si>
  <si>
    <t>40762-15-0</t>
  </si>
  <si>
    <t>Doxefazepam</t>
  </si>
  <si>
    <t>409-21-2</t>
  </si>
  <si>
    <t>Silicon carbide whiskers</t>
  </si>
  <si>
    <t>4170-30-3</t>
  </si>
  <si>
    <t>Crotonaldehyde</t>
  </si>
  <si>
    <t>63 (corr. 65), 128</t>
  </si>
  <si>
    <t>420-12-2</t>
  </si>
  <si>
    <t>Ethylene sulfide</t>
  </si>
  <si>
    <t>42397-64-8</t>
  </si>
  <si>
    <t>1,6-Dinitropyrene</t>
  </si>
  <si>
    <t>42397-65-9</t>
  </si>
  <si>
    <t>1,8-Dinitropyrene</t>
  </si>
  <si>
    <t>Sup 7, 46, 105</t>
  </si>
  <si>
    <t>4342-03-4</t>
  </si>
  <si>
    <t>Dacarbazine</t>
  </si>
  <si>
    <t>439-14-5</t>
  </si>
  <si>
    <t>Diazepam</t>
  </si>
  <si>
    <t>Sup 7, 66</t>
  </si>
  <si>
    <t>443-48-1</t>
  </si>
  <si>
    <t>Metronidazole</t>
  </si>
  <si>
    <t>446-86-6</t>
  </si>
  <si>
    <t>Azathioprine</t>
  </si>
  <si>
    <t>4548-53-2</t>
  </si>
  <si>
    <t>Ponceau SX</t>
  </si>
  <si>
    <t>4549-40-0</t>
  </si>
  <si>
    <t>N-Nitrosomethylvinylamine</t>
  </si>
  <si>
    <t>4657-93-6</t>
  </si>
  <si>
    <t>5-Aminoacenaphthene</t>
  </si>
  <si>
    <t>4680-78-8</t>
  </si>
  <si>
    <t>Guinea Green B</t>
  </si>
  <si>
    <t>480-54-6</t>
  </si>
  <si>
    <t>Retrorsine</t>
  </si>
  <si>
    <t>480-81-9</t>
  </si>
  <si>
    <t>Seneciphylline</t>
  </si>
  <si>
    <t>484-20-8</t>
  </si>
  <si>
    <t>5-Methoxypsoralen</t>
  </si>
  <si>
    <t>492-17-1</t>
  </si>
  <si>
    <t>2,4'-Diphenyldiamine</t>
  </si>
  <si>
    <t>492-80-8</t>
  </si>
  <si>
    <t>Auramine</t>
  </si>
  <si>
    <t>1, Sup 7, 99, 100F</t>
  </si>
  <si>
    <t>493-52-7</t>
  </si>
  <si>
    <t>Methyl red</t>
  </si>
  <si>
    <t>494-03-1</t>
  </si>
  <si>
    <t>N,N-Bis(2-chloroethyl)-2-naphthylamine (see Chlornaphazine)</t>
  </si>
  <si>
    <t>Chlornaphazine</t>
  </si>
  <si>
    <t>4, Sup 7, 100A</t>
  </si>
  <si>
    <t>494-38-2</t>
  </si>
  <si>
    <t>Acridine orange</t>
  </si>
  <si>
    <t>50-00-0</t>
  </si>
  <si>
    <t>Formaldehyde</t>
  </si>
  <si>
    <t>Sup 7, 62, 88, 100F</t>
  </si>
  <si>
    <t>50-06-6</t>
  </si>
  <si>
    <t>Phenobarbital</t>
  </si>
  <si>
    <t>50-07-7</t>
  </si>
  <si>
    <t>Mitomycin C</t>
  </si>
  <si>
    <t>50-18-0, 6055-19-2</t>
  </si>
  <si>
    <t>Cyclophosphamide</t>
  </si>
  <si>
    <t>50-29-3</t>
  </si>
  <si>
    <t>DDT (4,4'-dichlorodiphenyltrichloroethane)</t>
  </si>
  <si>
    <t>Sup 7, 53, 113</t>
  </si>
  <si>
    <t>50-32-8</t>
  </si>
  <si>
    <t>Benzo[a]pyrene</t>
  </si>
  <si>
    <t>50-33-9</t>
  </si>
  <si>
    <t>Phenylbutazone</t>
  </si>
  <si>
    <t>50-41-9</t>
  </si>
  <si>
    <t>Clomiphene citrate</t>
  </si>
  <si>
    <t>21, Sup 7</t>
  </si>
  <si>
    <t>50-44-2</t>
  </si>
  <si>
    <t>6-Mercaptopurine</t>
  </si>
  <si>
    <t>50-55-5</t>
  </si>
  <si>
    <t>Reserpine</t>
  </si>
  <si>
    <t>50-76-0</t>
  </si>
  <si>
    <t>Actinomycin D</t>
  </si>
  <si>
    <t>501-30-4</t>
  </si>
  <si>
    <t>Kojic acid</t>
  </si>
  <si>
    <t>505-60-2</t>
  </si>
  <si>
    <t>Mustard gas (see Sulfur mustard)</t>
  </si>
  <si>
    <t>Sulfur mustard</t>
  </si>
  <si>
    <t>9, Sup 7, 100F</t>
  </si>
  <si>
    <t>509-14-8</t>
  </si>
  <si>
    <t>Tetranitromethane</t>
  </si>
  <si>
    <t>50926-11-9</t>
  </si>
  <si>
    <t>Indium tin oxide</t>
  </si>
  <si>
    <t>51-02-5</t>
  </si>
  <si>
    <t>Pronetalol hydrochloride</t>
  </si>
  <si>
    <t>51-03-6</t>
  </si>
  <si>
    <t>Piperonyl butoxide</t>
  </si>
  <si>
    <t>51-18-3</t>
  </si>
  <si>
    <t>2,4,6-Tris(1-aziridinyl)-s-triazine</t>
  </si>
  <si>
    <t>51-21-8</t>
  </si>
  <si>
    <t>5-Fluorouracil</t>
  </si>
  <si>
    <t>51-52-5</t>
  </si>
  <si>
    <t>Propylthiouracil</t>
  </si>
  <si>
    <t>51-75-2</t>
  </si>
  <si>
    <t>Nitrogen mustard</t>
  </si>
  <si>
    <t>51-79-6</t>
  </si>
  <si>
    <t>Ethyl carbamate (Urethane)</t>
  </si>
  <si>
    <t>7, Sup 7, 96</t>
  </si>
  <si>
    <t>510-15-6</t>
  </si>
  <si>
    <t>Chlorobenzilate</t>
  </si>
  <si>
    <t>51264-14-3</t>
  </si>
  <si>
    <t>Amsacrine</t>
  </si>
  <si>
    <t>513-37-1</t>
  </si>
  <si>
    <t>1-Chloro-2-methylpropene</t>
  </si>
  <si>
    <t>5131-60-2</t>
  </si>
  <si>
    <t>4-Chloro-meta-phenylenediamine</t>
  </si>
  <si>
    <t>5141-20-8</t>
  </si>
  <si>
    <t>Light Green SF</t>
  </si>
  <si>
    <t>51481-61-9</t>
  </si>
  <si>
    <t>Cimetidine</t>
  </si>
  <si>
    <t>5160-02-1</t>
  </si>
  <si>
    <t>D &amp; C Red No. 9</t>
  </si>
  <si>
    <t>Sup 7, 57</t>
  </si>
  <si>
    <t>51630-58-1</t>
  </si>
  <si>
    <t>Fenvalerate</t>
  </si>
  <si>
    <t>518-75-2</t>
  </si>
  <si>
    <t>Citrinin</t>
  </si>
  <si>
    <t>52-01-7</t>
  </si>
  <si>
    <t>Spironolactone</t>
  </si>
  <si>
    <t>52-24-4</t>
  </si>
  <si>
    <t>Thiotepa</t>
  </si>
  <si>
    <t>Sup 7, 50, 100A</t>
  </si>
  <si>
    <t>52-46-0</t>
  </si>
  <si>
    <t>Apholate</t>
  </si>
  <si>
    <t>52-68-6</t>
  </si>
  <si>
    <t>Trichlorfon</t>
  </si>
  <si>
    <t>520-18-3</t>
  </si>
  <si>
    <t>Kaempferol</t>
  </si>
  <si>
    <t>523-44-4</t>
  </si>
  <si>
    <t>CI Acid Orange 20</t>
  </si>
  <si>
    <t>Orange I (see CI Acid Orange 20)</t>
  </si>
  <si>
    <t>523-50-2</t>
  </si>
  <si>
    <t>Angelicin plus ultraviolet A radiation</t>
  </si>
  <si>
    <t>52645-53-1</t>
  </si>
  <si>
    <t>Permethrin</t>
  </si>
  <si>
    <t>52918-63-5</t>
  </si>
  <si>
    <t>Deltamethrin</t>
  </si>
  <si>
    <t>53-03-2</t>
  </si>
  <si>
    <t>Prednisone</t>
  </si>
  <si>
    <t>53-70-3</t>
  </si>
  <si>
    <t>Dibenz[a,h]anthracene</t>
  </si>
  <si>
    <t>5307-14-2</t>
  </si>
  <si>
    <t>1,4-Diamino-2-nitrobenzene</t>
  </si>
  <si>
    <t>531-76-0</t>
  </si>
  <si>
    <t>Merphalan</t>
  </si>
  <si>
    <t>531-82-8</t>
  </si>
  <si>
    <t>N-[4-(5-Nitro-2-furyl)-2-thiazolyl]acetamide</t>
  </si>
  <si>
    <t>532-82-1</t>
  </si>
  <si>
    <t>Chrysoidine</t>
  </si>
  <si>
    <t>536-33-4</t>
  </si>
  <si>
    <t>Ethionamide</t>
  </si>
  <si>
    <t>5385-75-1</t>
  </si>
  <si>
    <t>Dibenzo[a,e]fluoranthene</t>
  </si>
  <si>
    <t>53973-98-1</t>
  </si>
  <si>
    <t>Carrageenan, degraded (Poligeenan)</t>
  </si>
  <si>
    <t>Poligeenan (see Carrageenan, degraded)</t>
  </si>
  <si>
    <t>54-05-7</t>
  </si>
  <si>
    <t>Chloroquine</t>
  </si>
  <si>
    <t>54-31-9</t>
  </si>
  <si>
    <t>Furosemide (Frusemide)</t>
  </si>
  <si>
    <t>54-85-3</t>
  </si>
  <si>
    <t>Isonicotinic acid hydrazide (Isoniazid)</t>
  </si>
  <si>
    <t>540-73-8</t>
  </si>
  <si>
    <t>1,2-Dimethylhydrazine</t>
  </si>
  <si>
    <t>541-73-1</t>
  </si>
  <si>
    <t>meta-Dichlorobenzene</t>
  </si>
  <si>
    <t>542-56-3</t>
  </si>
  <si>
    <t>Isobutyl nitrite</t>
  </si>
  <si>
    <t>542-75-6</t>
  </si>
  <si>
    <t>1,3-Dichloropropene (technical-grade)</t>
  </si>
  <si>
    <t>542-78-9</t>
  </si>
  <si>
    <t>Malonaldehyde</t>
  </si>
  <si>
    <t>542-88-1, 107-30-2</t>
  </si>
  <si>
    <t>Bis(chloromethyl)ether; chloromethyl methyl ether (technical-grade)</t>
  </si>
  <si>
    <t>4, Sup 7, 100F</t>
  </si>
  <si>
    <t>5431-33-4</t>
  </si>
  <si>
    <t>Glycidyl oleate</t>
  </si>
  <si>
    <t>545-06-2</t>
  </si>
  <si>
    <t>Trichloroacetonitrile</t>
  </si>
  <si>
    <t>545-55-1</t>
  </si>
  <si>
    <t>Tris(1-aziridinyl)phosphine oxide</t>
  </si>
  <si>
    <t>5456-28-0</t>
  </si>
  <si>
    <t>Ethyl selenac</t>
  </si>
  <si>
    <t>54749-90-5</t>
  </si>
  <si>
    <t>Chlorozotocin</t>
  </si>
  <si>
    <t>548-62-9</t>
  </si>
  <si>
    <t>Gentian violet (see also Leucogentian violet)</t>
  </si>
  <si>
    <t>55-18-5</t>
  </si>
  <si>
    <t>N-Nitrosodiethylamine</t>
  </si>
  <si>
    <t>55-98-1</t>
  </si>
  <si>
    <t>1,4-Butanediol dimethanesulfonate (see Busulfan)</t>
  </si>
  <si>
    <t>Busulfan</t>
  </si>
  <si>
    <t>Myleran (see Busulfan)</t>
  </si>
  <si>
    <t>551-74-6</t>
  </si>
  <si>
    <t>Mannomustine dihydrochloride</t>
  </si>
  <si>
    <t>5522-43-0</t>
  </si>
  <si>
    <t>1-Nitropyrene</t>
  </si>
  <si>
    <t>555-84-0</t>
  </si>
  <si>
    <t>1-[(5-Nitrofurfurylidene)amino]-2-imidazolidinone</t>
  </si>
  <si>
    <t>55557-01-2</t>
  </si>
  <si>
    <t>N-Nitrosoguvacine</t>
  </si>
  <si>
    <t>Sup 7, 85</t>
  </si>
  <si>
    <t>55557-02-3</t>
  </si>
  <si>
    <t>N-Nitrosoguvacoline</t>
  </si>
  <si>
    <t>556-52-5</t>
  </si>
  <si>
    <t>Glycidol</t>
  </si>
  <si>
    <t>5589-96-8</t>
  </si>
  <si>
    <t>Bromochloroacetic acid</t>
  </si>
  <si>
    <t>56-04-2</t>
  </si>
  <si>
    <t>Methylthiouracil</t>
  </si>
  <si>
    <t>56-23-5</t>
  </si>
  <si>
    <t>Carbon tetrachloride</t>
  </si>
  <si>
    <t>56-25-7</t>
  </si>
  <si>
    <t>Cantharidin</t>
  </si>
  <si>
    <t>56-38-2</t>
  </si>
  <si>
    <t>Parathion</t>
  </si>
  <si>
    <t>56-53-1</t>
  </si>
  <si>
    <t>Diethylstilbestrol</t>
  </si>
  <si>
    <t>21, Sup 7, 100A</t>
  </si>
  <si>
    <t>56-55-3</t>
  </si>
  <si>
    <t>Benz[a]anthracene</t>
  </si>
  <si>
    <t>56-75-7</t>
  </si>
  <si>
    <t>Chloramphenicol</t>
  </si>
  <si>
    <t>Sup 7, 50</t>
  </si>
  <si>
    <t>562-10-7</t>
  </si>
  <si>
    <t>Doxylamine succinate</t>
  </si>
  <si>
    <t>563-41-7</t>
  </si>
  <si>
    <t>Semicarbazide hydrochloride</t>
  </si>
  <si>
    <t>563-47-3</t>
  </si>
  <si>
    <t>3-Chloro-2-methylpropene, technical grade</t>
  </si>
  <si>
    <t>63, 115</t>
  </si>
  <si>
    <t>56894-91-8</t>
  </si>
  <si>
    <t>1,4-Bis(chloromethoxymethyl)benzene</t>
  </si>
  <si>
    <t>569-61-9</t>
  </si>
  <si>
    <t>CI Basic Red 9</t>
  </si>
  <si>
    <t>569-64-2, 14426-28-9, 2437-29-8</t>
  </si>
  <si>
    <t>Malachite green (see also Leucomalachite green)</t>
  </si>
  <si>
    <t>57-06-7</t>
  </si>
  <si>
    <t>Allyl isothiocyanate</t>
  </si>
  <si>
    <t>73, Sup 7</t>
  </si>
  <si>
    <t>57-14-7</t>
  </si>
  <si>
    <t>1,1-Dimethylhydrazine</t>
  </si>
  <si>
    <t>57-39-6</t>
  </si>
  <si>
    <t>Tris(2-methyl-1-aziridinyl)phosphine oxide</t>
  </si>
  <si>
    <t>57-41-0</t>
  </si>
  <si>
    <t>Phenytoin</t>
  </si>
  <si>
    <t>57-57-8</t>
  </si>
  <si>
    <t>beta-Propiolactone</t>
  </si>
  <si>
    <t>57-68-1</t>
  </si>
  <si>
    <t>Sulfamethazine</t>
  </si>
  <si>
    <t>57-74-9</t>
  </si>
  <si>
    <t>Chlordane</t>
  </si>
  <si>
    <t>Sup 7, 53, 79</t>
  </si>
  <si>
    <t>57-88-5</t>
  </si>
  <si>
    <t>Cholesterol</t>
  </si>
  <si>
    <t>57018-52-7</t>
  </si>
  <si>
    <t>1-tert-Butoxypropan-2-ol</t>
  </si>
  <si>
    <t>88, 119</t>
  </si>
  <si>
    <t>57117-31-4</t>
  </si>
  <si>
    <t>2,3,4,7,8-Pentachlorodibenzofuran</t>
  </si>
  <si>
    <t>100F</t>
  </si>
  <si>
    <t>57465-28-8</t>
  </si>
  <si>
    <t>3,4,5,3’,4’-Pentachlorobiphenyl (PCB-126)</t>
  </si>
  <si>
    <t>See Polychlorinated biphenyls, dioxin-like, with a TEF according to WHO</t>
  </si>
  <si>
    <t>57835-92-4</t>
  </si>
  <si>
    <t>4-Nitropyrene</t>
  </si>
  <si>
    <t>58-08-2</t>
  </si>
  <si>
    <t>Caffeine</t>
  </si>
  <si>
    <t>58-14-0</t>
  </si>
  <si>
    <t>Pyrimethamine</t>
  </si>
  <si>
    <t>58-55-9</t>
  </si>
  <si>
    <t>Theophylline</t>
  </si>
  <si>
    <t>58-89-9</t>
  </si>
  <si>
    <t>Lindane (see also Hexachlorocyclohexanes)</t>
  </si>
  <si>
    <t>58-93-5</t>
  </si>
  <si>
    <t>Hydrochlorothiazide</t>
  </si>
  <si>
    <t>50, 108</t>
  </si>
  <si>
    <t>581-89-5</t>
  </si>
  <si>
    <t>2-Nitronaphthalene</t>
  </si>
  <si>
    <t>59-05-2</t>
  </si>
  <si>
    <t>Methotrexate</t>
  </si>
  <si>
    <t>59-87-0</t>
  </si>
  <si>
    <t>Nitrofural (Nitrofurazone)</t>
  </si>
  <si>
    <t>59-89-2</t>
  </si>
  <si>
    <t>N-Nitrosomorpholine</t>
  </si>
  <si>
    <t>592-62-1</t>
  </si>
  <si>
    <t>Methylazoxymethanol acetate</t>
  </si>
  <si>
    <t>59277-89-3</t>
  </si>
  <si>
    <t>Aciclovir</t>
  </si>
  <si>
    <t>593-60-2</t>
  </si>
  <si>
    <t>Vinyl bromide</t>
  </si>
  <si>
    <t>39, Sup 7, 71, 97</t>
  </si>
  <si>
    <t>NB (1) Overall evaluation upgraded to Group 2A based on mechanistic and other relevant data; (2) For practical purposes, vinyl bromide should be considered to act similarly to the human carcinogen vinyl chloride</t>
  </si>
  <si>
    <t>593-70-4</t>
  </si>
  <si>
    <t>Chlorofluoromethane</t>
  </si>
  <si>
    <t>59536-65-1</t>
  </si>
  <si>
    <t>Polybrominated biphenyls</t>
  </si>
  <si>
    <t>41, Sup 7, 107</t>
  </si>
  <si>
    <t>NB Overall evaluation upgraded to Group 2A with supporting evidence from other relevant data, namely mechanistic similarity with polychlorinated biphenyls classified in Group 1</t>
  </si>
  <si>
    <t>598-55-0</t>
  </si>
  <si>
    <t>Methyl carbamate</t>
  </si>
  <si>
    <t>59820-43-8</t>
  </si>
  <si>
    <t>HC Yellow No. 4</t>
  </si>
  <si>
    <t>59865-13-3, 79217-60-0</t>
  </si>
  <si>
    <t>Ciclosporin (see Cyclosporine)</t>
  </si>
  <si>
    <t>Cyclosporine</t>
  </si>
  <si>
    <t>50, 100A</t>
  </si>
  <si>
    <t>5989-27-5</t>
  </si>
  <si>
    <t>d-Limonene</t>
  </si>
  <si>
    <t>56, 73</t>
  </si>
  <si>
    <t>599-79-1</t>
  </si>
  <si>
    <t>Sulfasalazine</t>
  </si>
  <si>
    <t>60-09-3</t>
  </si>
  <si>
    <t>para-Aminoazobenzene</t>
  </si>
  <si>
    <t>60-11-7</t>
  </si>
  <si>
    <t>para-Dimethylaminoazobenzene</t>
  </si>
  <si>
    <t>60-35-5</t>
  </si>
  <si>
    <t>Acetamide</t>
  </si>
  <si>
    <t>7, Sup 7, 71</t>
  </si>
  <si>
    <t>60-56-0</t>
  </si>
  <si>
    <t>Methimazole</t>
  </si>
  <si>
    <t>60-57-1</t>
  </si>
  <si>
    <t>Dieldrin (see Dieldrin, and aldrin metabolized to dieldrin)</t>
  </si>
  <si>
    <t>60-57-1, 309-00-2</t>
  </si>
  <si>
    <t>Dieldrin, and aldrin metabolized to dieldrin</t>
  </si>
  <si>
    <t>5, Sup 7, 117</t>
  </si>
  <si>
    <t>60102-37-6</t>
  </si>
  <si>
    <t>Petasitenine</t>
  </si>
  <si>
    <t>60153-49-3</t>
  </si>
  <si>
    <t>3-(N-Nitrosomethylamino)propionitrile</t>
  </si>
  <si>
    <t>602-60-8</t>
  </si>
  <si>
    <t>9-Nitroanthracene</t>
  </si>
  <si>
    <t>602-87-9</t>
  </si>
  <si>
    <t>5-Nitroacenaphthene</t>
  </si>
  <si>
    <t>603-48-5</t>
  </si>
  <si>
    <t>Leucogentian violet (see also Gentian violet)</t>
  </si>
  <si>
    <t>604-75-1</t>
  </si>
  <si>
    <t>Oxazepam</t>
  </si>
  <si>
    <t>606-20-2</t>
  </si>
  <si>
    <t>2,6-Dinitrotoluene</t>
  </si>
  <si>
    <t>607-57-8</t>
  </si>
  <si>
    <t>2-Nitrofluorene</t>
  </si>
  <si>
    <t>609-20-1</t>
  </si>
  <si>
    <t>2,6-Dichloro-para-phenylenediamine</t>
  </si>
  <si>
    <t>61-57-4</t>
  </si>
  <si>
    <t>Niridazole</t>
  </si>
  <si>
    <t>61-82-5</t>
  </si>
  <si>
    <t>Amitrole</t>
  </si>
  <si>
    <t>79, Sup 7</t>
  </si>
  <si>
    <t>611-06-3</t>
  </si>
  <si>
    <t>2,4-Dichloro-1-nitrobenzene</t>
  </si>
  <si>
    <t>613-35-4</t>
  </si>
  <si>
    <t>N,N'-Diacetylbenzidine</t>
  </si>
  <si>
    <t>615-05-4</t>
  </si>
  <si>
    <t>2,4-Diaminoanisole</t>
  </si>
  <si>
    <t>615-28-1</t>
  </si>
  <si>
    <t>ortho-Phenylenediamine dihydrochloride</t>
  </si>
  <si>
    <t>615-53-2</t>
  </si>
  <si>
    <t>N-Methyl-N-nitrosourethane</t>
  </si>
  <si>
    <t>6164-98-3</t>
  </si>
  <si>
    <t>Chlordimeform</t>
  </si>
  <si>
    <t>618-85-9</t>
  </si>
  <si>
    <t>3,5-Dinitrotoluene</t>
  </si>
  <si>
    <t>62-44-2</t>
  </si>
  <si>
    <t>Phenacetin</t>
  </si>
  <si>
    <t>62-50-0</t>
  </si>
  <si>
    <t>Ethyl methanesulfonate</t>
  </si>
  <si>
    <t>62-53-3</t>
  </si>
  <si>
    <t>Aniline (see also Aniline hydrochloride)</t>
  </si>
  <si>
    <t>27, Sup 7, 127</t>
  </si>
  <si>
    <t>62-55-5</t>
  </si>
  <si>
    <t>Thioacetamide</t>
  </si>
  <si>
    <t>62-56-6</t>
  </si>
  <si>
    <t>Thiourea</t>
  </si>
  <si>
    <t>62-73-7</t>
  </si>
  <si>
    <t>Dichlorvos</t>
  </si>
  <si>
    <t>62-75-9</t>
  </si>
  <si>
    <t>N-Nitrosodimethylamine</t>
  </si>
  <si>
    <t>621-64-7</t>
  </si>
  <si>
    <t>N-Nitrosodi-n-propylamine</t>
  </si>
  <si>
    <t>62450-06-0</t>
  </si>
  <si>
    <t>Trp-P-1 (3-Amino-1,4-dimethyl-5H-pyrido[4,3-b]indole)</t>
  </si>
  <si>
    <t>62450-07-1</t>
  </si>
  <si>
    <t>Trp-P-2 (3-Amino-1-methyl-5H-pyrido[4,3-b]indole)</t>
  </si>
  <si>
    <t>627-12-3</t>
  </si>
  <si>
    <t>n-Propyl carbamate</t>
  </si>
  <si>
    <t>63-25-2</t>
  </si>
  <si>
    <t>Carbaryl</t>
  </si>
  <si>
    <t>63-92-3</t>
  </si>
  <si>
    <t>Phenoxybenzamine hydrochloride</t>
  </si>
  <si>
    <t>630-20-6</t>
  </si>
  <si>
    <t>1,1,1,2-Tetrachloroethane</t>
  </si>
  <si>
    <t>41, Sup 7, 71, 106</t>
  </si>
  <si>
    <t>63041-90-7</t>
  </si>
  <si>
    <t>6-Nitrobenzo[a]pyrene</t>
  </si>
  <si>
    <t>Sup 7, 46</t>
  </si>
  <si>
    <t>631-64-1</t>
  </si>
  <si>
    <t>Dibromoacetic acid</t>
  </si>
  <si>
    <t>632-99-5</t>
  </si>
  <si>
    <t>Magenta</t>
  </si>
  <si>
    <t>6358-53-8</t>
  </si>
  <si>
    <t>Citrus Red No. 2</t>
  </si>
  <si>
    <t>6368-72-5</t>
  </si>
  <si>
    <t>Sudan Red 7B</t>
  </si>
  <si>
    <t>637-07-0</t>
  </si>
  <si>
    <t>Clofibrate</t>
  </si>
  <si>
    <t>6373-74-6</t>
  </si>
  <si>
    <t>CI Acid Orange 3</t>
  </si>
  <si>
    <t>64-17-5</t>
  </si>
  <si>
    <t>Ethanol in alcoholic beverages</t>
  </si>
  <si>
    <t>96, 100E</t>
  </si>
  <si>
    <t>64-67-5</t>
  </si>
  <si>
    <t>Diethyl sulfate</t>
  </si>
  <si>
    <t>641-48-5</t>
  </si>
  <si>
    <t>1,2-Dihydroaceanthrylene</t>
  </si>
  <si>
    <t>6416-57-5</t>
  </si>
  <si>
    <t>Sudan Brown RR</t>
  </si>
  <si>
    <t>64436-13-1</t>
  </si>
  <si>
    <t>Arsenobetaine and other organic arsenic compounds that are not metabolized in humans</t>
  </si>
  <si>
    <t>6459-94-5</t>
  </si>
  <si>
    <t>CI Acid Red 114</t>
  </si>
  <si>
    <t>64742-93-4</t>
  </si>
  <si>
    <t>Bitumens, occupational exposure to oxidized bitumens and their emissions during roofing</t>
  </si>
  <si>
    <t>65271-80-9</t>
  </si>
  <si>
    <t>Mitoxantrone</t>
  </si>
  <si>
    <t>65996-93-2</t>
  </si>
  <si>
    <t>Coal-tar pitch</t>
  </si>
  <si>
    <t>35, Sup 7, 100F</t>
  </si>
  <si>
    <t>66-27-3</t>
  </si>
  <si>
    <t>Methyl methanesulfonate</t>
  </si>
  <si>
    <t>66-75-1</t>
  </si>
  <si>
    <t>Uracil mustard</t>
  </si>
  <si>
    <t>66733-21-9</t>
  </si>
  <si>
    <t>Erionite</t>
  </si>
  <si>
    <t>42, Sup 7, 100C</t>
  </si>
  <si>
    <t>67-20-9</t>
  </si>
  <si>
    <t>Nitrofurantoin</t>
  </si>
  <si>
    <t>67-45-8</t>
  </si>
  <si>
    <t>Furazolidone</t>
  </si>
  <si>
    <t>67-63-0</t>
  </si>
  <si>
    <t>Isopropyl alcohol</t>
  </si>
  <si>
    <t>67-66-3</t>
  </si>
  <si>
    <t>Chloroform</t>
  </si>
  <si>
    <t>67-72-1</t>
  </si>
  <si>
    <t>Hexachloroethane</t>
  </si>
  <si>
    <t>67730-10-3</t>
  </si>
  <si>
    <t>Glu-P-2 (2-Aminodipyrido[1,2-a:3',2'-d]imidazole)</t>
  </si>
  <si>
    <t>67730-11-4</t>
  </si>
  <si>
    <t>Glu-P-1 (2-Amino-6-methyldipyrido[1,2-a:3',2'-d]imidazole)</t>
  </si>
  <si>
    <t>68-12-2</t>
  </si>
  <si>
    <t>N,N-Dimethylformamide</t>
  </si>
  <si>
    <t>47, 71, 115</t>
  </si>
  <si>
    <t>68-76-8</t>
  </si>
  <si>
    <t>Tris(aziridinyl)-para-benzoquinone (Triaziquone)</t>
  </si>
  <si>
    <t>680-31-9</t>
  </si>
  <si>
    <t>Hexamethylphosphoramide</t>
  </si>
  <si>
    <t>68006-83-7</t>
  </si>
  <si>
    <t>MeA-alpha-C (2-Amino-3-methyl-9H-pyrido[2,3-b]indole)</t>
  </si>
  <si>
    <t>68308-34-9</t>
  </si>
  <si>
    <t>Shale oils</t>
  </si>
  <si>
    <t>684-93-5</t>
  </si>
  <si>
    <t>N-Methyl-N-nitrosourea</t>
  </si>
  <si>
    <t>68603-42-9</t>
  </si>
  <si>
    <t>Coconut oil diethanolamine condensate</t>
  </si>
  <si>
    <t>6870-67-3</t>
  </si>
  <si>
    <t>Jacobine</t>
  </si>
  <si>
    <t>69-53-4</t>
  </si>
  <si>
    <t>Ampicillin</t>
  </si>
  <si>
    <t>693-98-1</t>
  </si>
  <si>
    <t>2-Methylimidazole</t>
  </si>
  <si>
    <t>69655-05-6</t>
  </si>
  <si>
    <t>Didanosine</t>
  </si>
  <si>
    <t>70-25-7</t>
  </si>
  <si>
    <t>N-Methyl-N´-nitro-N-nitrosoguanidine (MNNG)</t>
  </si>
  <si>
    <t>70-30-4</t>
  </si>
  <si>
    <t>Hexachlorophene</t>
  </si>
  <si>
    <t>7099-43-6</t>
  </si>
  <si>
    <t>5,6-Cyclopenteno-1,2-benzanthracene</t>
  </si>
  <si>
    <t>71-43-2</t>
  </si>
  <si>
    <t>Benzene</t>
  </si>
  <si>
    <t>29, Sup 7. 100F, 120</t>
  </si>
  <si>
    <t>71-55-6</t>
  </si>
  <si>
    <t>1,1,1-Trichloroethane</t>
  </si>
  <si>
    <t>20, Sup 7, 71, 130</t>
  </si>
  <si>
    <t>71-58-9</t>
  </si>
  <si>
    <t>Medroxyprogesterone acetate</t>
  </si>
  <si>
    <t>712-68-5</t>
  </si>
  <si>
    <t>2-Amino-5-(5-nitro-2-furyl)-1,3,4-thiadiazole</t>
  </si>
  <si>
    <t>71267-22-6</t>
  </si>
  <si>
    <t>N'-Nitrosoanatabine (NAT)</t>
  </si>
  <si>
    <t>72-20-8</t>
  </si>
  <si>
    <t>Endrin</t>
  </si>
  <si>
    <t>72-43-5</t>
  </si>
  <si>
    <t>Methoxychlor</t>
  </si>
  <si>
    <t>72-57-1</t>
  </si>
  <si>
    <t>Trypan blue</t>
  </si>
  <si>
    <t>7220-79-3</t>
  </si>
  <si>
    <t>Methylene blue</t>
  </si>
  <si>
    <t>723-46-6</t>
  </si>
  <si>
    <t>Sulfamethoxazole</t>
  </si>
  <si>
    <t>73459-03-7</t>
  </si>
  <si>
    <t>5-Methylangelicin plus ultraviolet A radiation</t>
  </si>
  <si>
    <t>74-83-9</t>
  </si>
  <si>
    <t>Methyl bromide</t>
  </si>
  <si>
    <t>74-85-1</t>
  </si>
  <si>
    <t>Ethylene</t>
  </si>
  <si>
    <t>74-87-3</t>
  </si>
  <si>
    <t>Methyl chloride</t>
  </si>
  <si>
    <t>74-88-4</t>
  </si>
  <si>
    <t>Methyl iodide</t>
  </si>
  <si>
    <t>74-96-4</t>
  </si>
  <si>
    <t>Bromoethane</t>
  </si>
  <si>
    <t>7439-92-1</t>
  </si>
  <si>
    <t>Lead</t>
  </si>
  <si>
    <t>23, Sup 7</t>
  </si>
  <si>
    <t>7439-97-6</t>
  </si>
  <si>
    <t>Mercury and inorganic mercury compounds</t>
  </si>
  <si>
    <t>7440-02-0</t>
  </si>
  <si>
    <t>Nickel, metallic</t>
  </si>
  <si>
    <t>Sup 7, 49</t>
  </si>
  <si>
    <t>7440-07-5</t>
  </si>
  <si>
    <t>Plutonium</t>
  </si>
  <si>
    <t>7440-29-1</t>
  </si>
  <si>
    <t>Thorium-232 and its decay products</t>
  </si>
  <si>
    <t>7440-38-2</t>
  </si>
  <si>
    <t>Arsenic and inorganic arsenic compounds</t>
  </si>
  <si>
    <t>23, Sup 7, 100C</t>
  </si>
  <si>
    <t>7440-41-7</t>
  </si>
  <si>
    <t>Beryllium and beryllium compounds</t>
  </si>
  <si>
    <t>Sup 7, 58, 100C</t>
  </si>
  <si>
    <t>7440-43-9</t>
  </si>
  <si>
    <t>Cadmium and cadmium compounds</t>
  </si>
  <si>
    <t>58, 100C</t>
  </si>
  <si>
    <t>7440-47-3</t>
  </si>
  <si>
    <t>Chromium, metallic</t>
  </si>
  <si>
    <t>7440-48-4</t>
  </si>
  <si>
    <t>Cobalt metal (without tungsten carbide or other metal alloys)</t>
  </si>
  <si>
    <t>7440-48-4, 12070-12-1</t>
  </si>
  <si>
    <t>Cobalt metal with tungsten carbide</t>
  </si>
  <si>
    <t>7446-09-5</t>
  </si>
  <si>
    <t>Sulfur dioxide</t>
  </si>
  <si>
    <t>7460-84-6</t>
  </si>
  <si>
    <t>Glycidyl stearate</t>
  </si>
  <si>
    <t>7481-89-2</t>
  </si>
  <si>
    <t>Zalcitabine</t>
  </si>
  <si>
    <t>7496-02-8</t>
  </si>
  <si>
    <t>6-Nitrochrysene</t>
  </si>
  <si>
    <t>75-00-3</t>
  </si>
  <si>
    <t>Chloroethane</t>
  </si>
  <si>
    <t>75-01-4</t>
  </si>
  <si>
    <t>Vinyl chloride</t>
  </si>
  <si>
    <t>Sup 7, 97, 100F</t>
  </si>
  <si>
    <t>75-02-5</t>
  </si>
  <si>
    <t>Vinyl fluoride</t>
  </si>
  <si>
    <t>Sup 7, 63, 97</t>
  </si>
  <si>
    <t>NB (1) Overall evaluation upgraded to Group 2A based on mechanistic and other relevant data; (2) For practical purposes, vinyl fluoride should be considered to act similarly to the human carcinogen vinyl chloride</t>
  </si>
  <si>
    <t>75-07-0</t>
  </si>
  <si>
    <t>Acetaldehyde</t>
  </si>
  <si>
    <t>Acetaldehyde associated with consumption of alcoholic beverages</t>
  </si>
  <si>
    <t>100E</t>
  </si>
  <si>
    <t>75-09-2</t>
  </si>
  <si>
    <t>Dichloromethane (Methylene chloride)</t>
  </si>
  <si>
    <t>Sup 7, 71, 110</t>
  </si>
  <si>
    <t>75-21-8</t>
  </si>
  <si>
    <t>Ethylene oxide</t>
  </si>
  <si>
    <t>Sup 7, 60, 97, 100F</t>
  </si>
  <si>
    <t>75-25-2</t>
  </si>
  <si>
    <t>Bromoform</t>
  </si>
  <si>
    <t>75-26-3</t>
  </si>
  <si>
    <t>2-Bromopropane</t>
  </si>
  <si>
    <t>75-27-4</t>
  </si>
  <si>
    <t>Bromodichloromethane</t>
  </si>
  <si>
    <t>75-35-4</t>
  </si>
  <si>
    <t>Vinylidene chloride</t>
  </si>
  <si>
    <t>39, Sup 7, 71, 119</t>
  </si>
  <si>
    <t>75-38-7</t>
  </si>
  <si>
    <t>Vinylidene fluoride</t>
  </si>
  <si>
    <t>75-45-6</t>
  </si>
  <si>
    <t>Chlorodifluoromethane</t>
  </si>
  <si>
    <t>75-52-5</t>
  </si>
  <si>
    <t>Nitromethane</t>
  </si>
  <si>
    <t>75-55-8</t>
  </si>
  <si>
    <t>2-Methylaziridine (Propyleneimine)</t>
  </si>
  <si>
    <t>75-56-9</t>
  </si>
  <si>
    <t>Propylene oxide</t>
  </si>
  <si>
    <t>75-60-5</t>
  </si>
  <si>
    <t>Dimethylarsinic acid</t>
  </si>
  <si>
    <t>75-87-6</t>
  </si>
  <si>
    <t>Chloral</t>
  </si>
  <si>
    <t>75-88-7</t>
  </si>
  <si>
    <t>2-Chloro-1,1,1-trifluoroethane</t>
  </si>
  <si>
    <t>7519-36-0</t>
  </si>
  <si>
    <t>N-Nitrosoproline</t>
  </si>
  <si>
    <t>75321-20-9</t>
  </si>
  <si>
    <t>1,3-Dinitropyrene</t>
  </si>
  <si>
    <t>7572-29-4</t>
  </si>
  <si>
    <t>Dichloroacetylene</t>
  </si>
  <si>
    <t>759-73-9</t>
  </si>
  <si>
    <t>N-Ethyl-N-nitrosourea</t>
  </si>
  <si>
    <t>76-01-7</t>
  </si>
  <si>
    <t>Pentachloroethane</t>
  </si>
  <si>
    <t>76-03-9</t>
  </si>
  <si>
    <t>Trichloroacetic acid</t>
  </si>
  <si>
    <t>76-44-8</t>
  </si>
  <si>
    <t>Heptachlor</t>
  </si>
  <si>
    <t>76180-96-6</t>
  </si>
  <si>
    <t>IQ (2-Amino-3-methylimidazo[4,5-f]quinoline)</t>
  </si>
  <si>
    <t>7631-86-9</t>
  </si>
  <si>
    <t>Silica, amorphous</t>
  </si>
  <si>
    <t>7647-01-0</t>
  </si>
  <si>
    <t>Hydrochloric acid</t>
  </si>
  <si>
    <t>765-34-4</t>
  </si>
  <si>
    <t>Glycidaldehyde</t>
  </si>
  <si>
    <t>7664-93-9</t>
  </si>
  <si>
    <t>Strong-inorganic-acid mists containing sulfuric acid (see Acid mists)</t>
  </si>
  <si>
    <t>77-09-8</t>
  </si>
  <si>
    <t>Phenolphthalein</t>
  </si>
  <si>
    <t>77-78-1</t>
  </si>
  <si>
    <t>Dimethyl sulfate</t>
  </si>
  <si>
    <t>77094-11-2</t>
  </si>
  <si>
    <t>MeIQ (2-Amino-3,4-dimethylimidazo[4,5-f]quinoline)</t>
  </si>
  <si>
    <t>7722-84-1</t>
  </si>
  <si>
    <t>Hydrogen peroxide</t>
  </si>
  <si>
    <t>77439-76-0</t>
  </si>
  <si>
    <t>3-Chloro-4-(dichloromethyl)-5-hydroxy-2(5H)-furanone</t>
  </si>
  <si>
    <t>77500-04-0</t>
  </si>
  <si>
    <t>MeIQx (2-Amino-3,8-dimethylimidazo[4,5-f]quinoxaline)</t>
  </si>
  <si>
    <t>7758-01-2</t>
  </si>
  <si>
    <t>Potassium bromate</t>
  </si>
  <si>
    <t>7758-19-2</t>
  </si>
  <si>
    <t>Sodium chlorite</t>
  </si>
  <si>
    <t>7782-49-2</t>
  </si>
  <si>
    <t>Selenium and selenium compounds</t>
  </si>
  <si>
    <t>Isophorone</t>
  </si>
  <si>
    <t>78-79-5</t>
  </si>
  <si>
    <t>Isoprene</t>
  </si>
  <si>
    <t>60, 71</t>
  </si>
  <si>
    <t>78-87-5</t>
  </si>
  <si>
    <t>1,2-Dichloropropane</t>
  </si>
  <si>
    <t>41, Sup 7, 71, 110</t>
  </si>
  <si>
    <t>78-98-8</t>
  </si>
  <si>
    <t>Methylglyoxal</t>
  </si>
  <si>
    <t>789-07-1</t>
  </si>
  <si>
    <t>2-Nitropyrene</t>
  </si>
  <si>
    <t>79-00-5</t>
  </si>
  <si>
    <t>1,1,2-Trichloroethane</t>
  </si>
  <si>
    <t>79-01-6</t>
  </si>
  <si>
    <t>Trichloroethylene</t>
  </si>
  <si>
    <t>79-06-1</t>
  </si>
  <si>
    <t>Acrylamide</t>
  </si>
  <si>
    <t>60, Sup 7</t>
  </si>
  <si>
    <t>79-10-7</t>
  </si>
  <si>
    <t>Acrylic acid</t>
  </si>
  <si>
    <t>79-34-5</t>
  </si>
  <si>
    <t>1,1,2,2-Tetrachloroethane</t>
  </si>
  <si>
    <t>20, Sup 7, 71, 106</t>
  </si>
  <si>
    <t>79-43-6</t>
  </si>
  <si>
    <t>Dichloroacetic acid</t>
  </si>
  <si>
    <t>79-44-7</t>
  </si>
  <si>
    <t>Dimethylcarbamoyl chloride</t>
  </si>
  <si>
    <t>12, Sup 7, 71</t>
  </si>
  <si>
    <t>79-46-9</t>
  </si>
  <si>
    <t>2-Nitropropane</t>
  </si>
  <si>
    <t>79-94-7</t>
  </si>
  <si>
    <t>Tetrabromobisphenol A</t>
  </si>
  <si>
    <t>NB Overall evaluation upgraded to Group 2A with supporting evidence from mechanistic data</t>
  </si>
  <si>
    <t>794-93-4</t>
  </si>
  <si>
    <t>Dihydroxymethylfuratrizine (see also Panfuran S)</t>
  </si>
  <si>
    <t>Panfuran S (containing dihydroxymethylfuratrizine)</t>
  </si>
  <si>
    <t>80-08-0</t>
  </si>
  <si>
    <t>Dapsone</t>
  </si>
  <si>
    <t>80-62-6</t>
  </si>
  <si>
    <t>Methyl methacrylate</t>
  </si>
  <si>
    <t>800-24-8</t>
  </si>
  <si>
    <t>Aziridyl benzoquinone</t>
  </si>
  <si>
    <t>8001-35-2</t>
  </si>
  <si>
    <t>Toxaphene (Polychlorinated camphenes)</t>
  </si>
  <si>
    <t>8001-50-1</t>
  </si>
  <si>
    <t>Terpene polychlorinates (Strobane®)</t>
  </si>
  <si>
    <t>8001-58-9</t>
  </si>
  <si>
    <t>Creosotes</t>
  </si>
  <si>
    <t>8002-05-9</t>
  </si>
  <si>
    <t>Crude oil</t>
  </si>
  <si>
    <t>8007-45-2</t>
  </si>
  <si>
    <t>Coal tars (see Coal-tar distillation)</t>
  </si>
  <si>
    <t>35, Sup 7</t>
  </si>
  <si>
    <t>Coal-tar distillation</t>
  </si>
  <si>
    <t>92, 100F</t>
  </si>
  <si>
    <t>8018-07-3</t>
  </si>
  <si>
    <t>Acriflavinium chloride</t>
  </si>
  <si>
    <t>804-36-4</t>
  </si>
  <si>
    <t>Nitrovin</t>
  </si>
  <si>
    <t>8047-67-4</t>
  </si>
  <si>
    <t>Saccharated iron oxide</t>
  </si>
  <si>
    <t>8052-42-4</t>
  </si>
  <si>
    <t>Bitumens, extracts of steam-refined and air-refined; steam-refined, cracking-residue and air-refined bitumens (see Bitumens, occupational exposures)</t>
  </si>
  <si>
    <t>8052-42-4, 64741-56-6</t>
  </si>
  <si>
    <t>Bitumens, occupational exposure to straight-run bitumens and their emissions during road paving</t>
  </si>
  <si>
    <t>81-07-2</t>
  </si>
  <si>
    <t>Saccharin and its salts</t>
  </si>
  <si>
    <t>81-15-2</t>
  </si>
  <si>
    <t>Musk xylene</t>
  </si>
  <si>
    <t>81-49-2</t>
  </si>
  <si>
    <t>1-Amino-2,4-dibromoanthraquinone</t>
  </si>
  <si>
    <t>81-88-9</t>
  </si>
  <si>
    <t>Rhodamine B</t>
  </si>
  <si>
    <t>817-09-4</t>
  </si>
  <si>
    <t>Trichlormethine (Trimustine hydrochloride)</t>
  </si>
  <si>
    <t>82-28-0</t>
  </si>
  <si>
    <t>1-Amino-2-methylanthraquinone</t>
  </si>
  <si>
    <t>82-68-8</t>
  </si>
  <si>
    <t>Quintozene (Pentachloronitrobenzene)</t>
  </si>
  <si>
    <t>822-36-6</t>
  </si>
  <si>
    <t>4-Methylimidazole</t>
  </si>
  <si>
    <t>82413-20-5</t>
  </si>
  <si>
    <t>Droloxifene</t>
  </si>
  <si>
    <t>828-00-2</t>
  </si>
  <si>
    <t>Dimethoxane</t>
  </si>
  <si>
    <t>83-32-9</t>
  </si>
  <si>
    <t>Acenaphthene</t>
  </si>
  <si>
    <t>83-63-6</t>
  </si>
  <si>
    <t>Diacetylaminoazotoluene</t>
  </si>
  <si>
    <t>83-66-9</t>
  </si>
  <si>
    <t>Musk ambrette</t>
  </si>
  <si>
    <t>83-67-0</t>
  </si>
  <si>
    <t>Theobromine</t>
  </si>
  <si>
    <t>832-69-9</t>
  </si>
  <si>
    <t>1-Methylphenanthrene</t>
  </si>
  <si>
    <t>83463-62-1</t>
  </si>
  <si>
    <t>Bromochloroacetonitrile</t>
  </si>
  <si>
    <t>838-88-0</t>
  </si>
  <si>
    <t>4,4'-Methylene bis(2-methylaniline)</t>
  </si>
  <si>
    <t>84-65-1</t>
  </si>
  <si>
    <t>Anthraquinone</t>
  </si>
  <si>
    <t>842-07-9</t>
  </si>
  <si>
    <t>Sudan I</t>
  </si>
  <si>
    <t>846-50-4</t>
  </si>
  <si>
    <t>Temazepam</t>
  </si>
  <si>
    <t>85-01-8</t>
  </si>
  <si>
    <t>Phenanthrene</t>
  </si>
  <si>
    <t>85-68-7</t>
  </si>
  <si>
    <t>Butyl benzyl phthalate</t>
  </si>
  <si>
    <t>85-83-6</t>
  </si>
  <si>
    <t>Scarlet Red</t>
  </si>
  <si>
    <t>85-84-7</t>
  </si>
  <si>
    <t>Yellow AB</t>
  </si>
  <si>
    <t>85-86-9</t>
  </si>
  <si>
    <t>Sudan III</t>
  </si>
  <si>
    <t>85502-23-4</t>
  </si>
  <si>
    <t>3-(N-Nitrosomethylamino)propionaldehyde</t>
  </si>
  <si>
    <t>85878-62-2</t>
  </si>
  <si>
    <t>Pyrido[3,4-c]psoralen</t>
  </si>
  <si>
    <t>85878-63-3</t>
  </si>
  <si>
    <t>7-Methylpyrido[3,4-c]psoralen</t>
  </si>
  <si>
    <t>86-30-6</t>
  </si>
  <si>
    <t>N-Nitrosodiphenylamine</t>
  </si>
  <si>
    <t>86-54-4</t>
  </si>
  <si>
    <t>Hydralazine</t>
  </si>
  <si>
    <t>86-57-7</t>
  </si>
  <si>
    <t>1-Nitronaphthalene</t>
  </si>
  <si>
    <t>86-73-7</t>
  </si>
  <si>
    <t>Fluorene</t>
  </si>
  <si>
    <t>86-74-8</t>
  </si>
  <si>
    <t>Carbazole</t>
  </si>
  <si>
    <t>32, Sup 7, 71, 103</t>
  </si>
  <si>
    <t>86-88-4</t>
  </si>
  <si>
    <t>1-Naphthylthiourea (ANTU)</t>
  </si>
  <si>
    <t>868-85-9</t>
  </si>
  <si>
    <t>Dimethyl hydrogen phosphite</t>
  </si>
  <si>
    <t>48, 71, 133</t>
  </si>
  <si>
    <t>87-29-6</t>
  </si>
  <si>
    <t>Cinnamyl anthranilate</t>
  </si>
  <si>
    <t>87-62-7</t>
  </si>
  <si>
    <t>2,6-Dimethylaniline (2,6-Xylidine)</t>
  </si>
  <si>
    <t>87-68-3</t>
  </si>
  <si>
    <t>Hexachlorobutadiene</t>
  </si>
  <si>
    <t>87-86-5</t>
  </si>
  <si>
    <t>Pentachlorophenol (see also Polychlorophenols)</t>
  </si>
  <si>
    <t>53, 71, 117</t>
  </si>
  <si>
    <t>87625-62-5</t>
  </si>
  <si>
    <t>Ptaquiloside</t>
  </si>
  <si>
    <t>88-05-1</t>
  </si>
  <si>
    <t>2,4,6-Trimethylaniline</t>
  </si>
  <si>
    <t>88-06-2</t>
  </si>
  <si>
    <t>2,4,6-Trichlorophenol (see also Polychlorophenols)</t>
  </si>
  <si>
    <t>88-12-0</t>
  </si>
  <si>
    <t>N-Vinyl-2-pyrrolidone</t>
  </si>
  <si>
    <t>88-72-2</t>
  </si>
  <si>
    <t>2-Nitrotoluene</t>
  </si>
  <si>
    <t>88-73-3</t>
  </si>
  <si>
    <t>2-Chloronitrobenzene</t>
  </si>
  <si>
    <t>88-73-3, 121-73-3, 100-00-5</t>
  </si>
  <si>
    <t>Chloronitrobenzenes (see 2-Chloronitrobenzene, 3-Chloronitrobenzene, 4-Chloronitrobenzene)</t>
  </si>
  <si>
    <t>89-61-2</t>
  </si>
  <si>
    <t>1,4-Dichloro-2-nitrobenzene</t>
  </si>
  <si>
    <t>89-82-7</t>
  </si>
  <si>
    <t>Pulegone</t>
  </si>
  <si>
    <t>892-21-7</t>
  </si>
  <si>
    <t>3-Nitrofluoranthene</t>
  </si>
  <si>
    <t>89778-26-7</t>
  </si>
  <si>
    <t>Toremifene</t>
  </si>
  <si>
    <t>90-04-0</t>
  </si>
  <si>
    <t>ortho-Anisidine (see also ortho-Anisidine hydrochloride)</t>
  </si>
  <si>
    <t>Sup 7, 73, 127</t>
  </si>
  <si>
    <t>90-43-7</t>
  </si>
  <si>
    <t>ortho-Phenylphenol</t>
  </si>
  <si>
    <t>90-65-3</t>
  </si>
  <si>
    <t>Penicillic acid</t>
  </si>
  <si>
    <t>90-94-8</t>
  </si>
  <si>
    <t>Michler’s ketone [4,4´-Bis(dimethylamino)­benzophenone]</t>
  </si>
  <si>
    <t>9000-07-1</t>
  </si>
  <si>
    <t>Carrageenan, native</t>
  </si>
  <si>
    <t>9000-38-8</t>
  </si>
  <si>
    <t>Kava extract</t>
  </si>
  <si>
    <t>9002-84-0</t>
  </si>
  <si>
    <t>Polytetrafluoroethylene</t>
  </si>
  <si>
    <t>9002-86-2</t>
  </si>
  <si>
    <t>Polyvinyl chloride</t>
  </si>
  <si>
    <t>9002-88-4</t>
  </si>
  <si>
    <t>Polyethylene</t>
  </si>
  <si>
    <t>9002-89-5</t>
  </si>
  <si>
    <t>Polyvinyl alcohol</t>
  </si>
  <si>
    <t>9003-01-4</t>
  </si>
  <si>
    <t>Polyacrylic acid</t>
  </si>
  <si>
    <t>9003-07-0</t>
  </si>
  <si>
    <t>Polypropylene</t>
  </si>
  <si>
    <t>9003-20-7</t>
  </si>
  <si>
    <t>Polyvinyl acetate</t>
  </si>
  <si>
    <t>9003-22-9</t>
  </si>
  <si>
    <t>Vinyl chloride-vinyl acetate copolymers</t>
  </si>
  <si>
    <t>9003-39-8</t>
  </si>
  <si>
    <t>Polyvinyl pyrrolidone</t>
  </si>
  <si>
    <t>9003-53-6</t>
  </si>
  <si>
    <t>Polystyrene</t>
  </si>
  <si>
    <t>9003-54-7</t>
  </si>
  <si>
    <t>Styrene-acrylonitrile copolymers</t>
  </si>
  <si>
    <t>19, Sup .7</t>
  </si>
  <si>
    <t>9003-55-8</t>
  </si>
  <si>
    <t>Styrene-butadiene copolymers</t>
  </si>
  <si>
    <t>9004-51-7</t>
  </si>
  <si>
    <t>Iron-dextrin complex</t>
  </si>
  <si>
    <t>9004-66-4</t>
  </si>
  <si>
    <t>Iron-dextran complex</t>
  </si>
  <si>
    <t>90045-36-6</t>
  </si>
  <si>
    <t>Ginkgo biloba extract</t>
  </si>
  <si>
    <t>9009-54-5</t>
  </si>
  <si>
    <t>Polyurethane foams</t>
  </si>
  <si>
    <t>9010-98-4</t>
  </si>
  <si>
    <t>Polychloroprene</t>
  </si>
  <si>
    <t>9011-06-7</t>
  </si>
  <si>
    <t>Vinylidene chloride-vinyl chloride copolymers</t>
  </si>
  <si>
    <t>9011-14-7</t>
  </si>
  <si>
    <t>Polymethyl methacrylate</t>
  </si>
  <si>
    <t>9016-87-9</t>
  </si>
  <si>
    <t>Polymethylene polyphenyl isocyanate</t>
  </si>
  <si>
    <t>90370-29-9</t>
  </si>
  <si>
    <t>4,4',6-Trimethylangelicin plus ultraviolet A radiation</t>
  </si>
  <si>
    <t>91-20-3</t>
  </si>
  <si>
    <t>Naphthalene</t>
  </si>
  <si>
    <t>91-22-5</t>
  </si>
  <si>
    <t>Quinoline</t>
  </si>
  <si>
    <t>91-23-6</t>
  </si>
  <si>
    <t>ortho-Nitroanisole</t>
  </si>
  <si>
    <t>65, 127</t>
  </si>
  <si>
    <t>NB Originally evaluated as 2-Nitroanisole</t>
  </si>
  <si>
    <t>91-59-8</t>
  </si>
  <si>
    <t>2-Naphthylamine</t>
  </si>
  <si>
    <t>4, Sup 7, 99, 100F</t>
  </si>
  <si>
    <t>91-64-5</t>
  </si>
  <si>
    <t>Coumarin</t>
  </si>
  <si>
    <t>91-93-0</t>
  </si>
  <si>
    <t>3,3'-Dimethoxybenzidine-4,4'-diisocyanate</t>
  </si>
  <si>
    <t>91-94-1</t>
  </si>
  <si>
    <t>3,3'-Dichlorobenzidine</t>
  </si>
  <si>
    <t>915-67-3</t>
  </si>
  <si>
    <t>Amaranth</t>
  </si>
  <si>
    <t>92-67-1</t>
  </si>
  <si>
    <t>4-Aminobiphenyl</t>
  </si>
  <si>
    <t>92-87-5</t>
  </si>
  <si>
    <t>Benzidine</t>
  </si>
  <si>
    <t>29, Sup 7, 99, 100F</t>
  </si>
  <si>
    <t>92-93-3</t>
  </si>
  <si>
    <t>4-Nitrobiphenyl</t>
  </si>
  <si>
    <t>924-16-3</t>
  </si>
  <si>
    <t>N-Nitrosodi-n-butylamine</t>
  </si>
  <si>
    <t>924-42-5</t>
  </si>
  <si>
    <t>N-Methylolacrylamide</t>
  </si>
  <si>
    <t>60, 130</t>
  </si>
  <si>
    <t>93-15-2</t>
  </si>
  <si>
    <t>Methyleugenol</t>
  </si>
  <si>
    <t>930-55-2</t>
  </si>
  <si>
    <t>N-Nitrosopyrrolidine</t>
  </si>
  <si>
    <t>94-36-0</t>
  </si>
  <si>
    <t>Benzoyl peroxide</t>
  </si>
  <si>
    <t>94-58-6</t>
  </si>
  <si>
    <t>Dihydrosafrole</t>
  </si>
  <si>
    <t>94-59-7</t>
  </si>
  <si>
    <t>Safrole</t>
  </si>
  <si>
    <t>94-75-7</t>
  </si>
  <si>
    <t>2,4-D (2,4-dichlorophenoxyacetic acid) (See also Chlorophenoxy herbicides)</t>
  </si>
  <si>
    <t>95-06-7</t>
  </si>
  <si>
    <t>Sulfallate</t>
  </si>
  <si>
    <t>95-50-1</t>
  </si>
  <si>
    <t>ortho-Dichlorobenzene</t>
  </si>
  <si>
    <t>95-53-4</t>
  </si>
  <si>
    <t>ortho-Toluidine</t>
  </si>
  <si>
    <t>Sup 7, 77, 99, 100F</t>
  </si>
  <si>
    <t>95-54-5</t>
  </si>
  <si>
    <t>ortho-Phenylenediamine</t>
  </si>
  <si>
    <t>95-68-1</t>
  </si>
  <si>
    <t>2,4-Xylidine</t>
  </si>
  <si>
    <t>95-69-2</t>
  </si>
  <si>
    <t>4-Chloro-ortho-toluidine</t>
  </si>
  <si>
    <t>77, 99</t>
  </si>
  <si>
    <t>95-70-5</t>
  </si>
  <si>
    <t>2,5-Diaminotoluene</t>
  </si>
  <si>
    <t>95-78-3</t>
  </si>
  <si>
    <t>2,5-Xylidine</t>
  </si>
  <si>
    <t>95-79-4</t>
  </si>
  <si>
    <t>5-Chloro-ortho-toluidine</t>
  </si>
  <si>
    <t>95-80-7</t>
  </si>
  <si>
    <t>2,4-Diaminotoluene</t>
  </si>
  <si>
    <t>95-83-0</t>
  </si>
  <si>
    <t>4-Chloro-ortho-phenylenediamine</t>
  </si>
  <si>
    <t>95-85-2</t>
  </si>
  <si>
    <t>2-Amino-4-chlorophenol</t>
  </si>
  <si>
    <t>96-09-3</t>
  </si>
  <si>
    <t>Styrene-7,8-oxide</t>
  </si>
  <si>
    <t>Sup 7, 60, 121</t>
  </si>
  <si>
    <t>96-12-8</t>
  </si>
  <si>
    <t>1,2-Dibromo-3-chloropropane</t>
  </si>
  <si>
    <t>96-13-9</t>
  </si>
  <si>
    <t>2,3-Dibromopropan-1-ol</t>
  </si>
  <si>
    <t>96-18-4</t>
  </si>
  <si>
    <t>1,2,3-Trichloropropane</t>
  </si>
  <si>
    <t>96-23-1</t>
  </si>
  <si>
    <t>1,3-Dichloro-2-propanol</t>
  </si>
  <si>
    <t>96-24-2</t>
  </si>
  <si>
    <t>3-Monochloro-1,2-propanediol</t>
  </si>
  <si>
    <t>96-33-3</t>
  </si>
  <si>
    <t>Methyl acrylate</t>
  </si>
  <si>
    <t>96-45-7</t>
  </si>
  <si>
    <t>Ethylenethiourea</t>
  </si>
  <si>
    <t>96-48-0</t>
  </si>
  <si>
    <t>gamma-Butyrolactone</t>
  </si>
  <si>
    <t>97-53-0</t>
  </si>
  <si>
    <t>Eugenol</t>
  </si>
  <si>
    <t>36, Sup 7</t>
  </si>
  <si>
    <t>97-56-3</t>
  </si>
  <si>
    <t>ortho-Aminoazotoluene</t>
  </si>
  <si>
    <t>97-77-8</t>
  </si>
  <si>
    <t>Disulfiram</t>
  </si>
  <si>
    <t>97-88-1</t>
  </si>
  <si>
    <t>Butyl methacrylate</t>
  </si>
  <si>
    <t>98-00-0</t>
  </si>
  <si>
    <t>Furfuryl alcohol</t>
  </si>
  <si>
    <t>98-01-1</t>
  </si>
  <si>
    <t>Furfural</t>
  </si>
  <si>
    <t>98-56-6</t>
  </si>
  <si>
    <t>4-Chlorobenzotrifluoride</t>
  </si>
  <si>
    <t>98-82-8</t>
  </si>
  <si>
    <t>Cumene</t>
  </si>
  <si>
    <t>98-83-9</t>
  </si>
  <si>
    <t>α-Methylstyrene</t>
  </si>
  <si>
    <t>98-87-3, 98-07-7, 100-44-7, 98-88-4</t>
  </si>
  <si>
    <t>alpha-Chlorinated toluenes (benzal chloride, benzotrichloride, benzyl chloride) and benzoyl chloride (combined exposures)</t>
  </si>
  <si>
    <t>98-95-3</t>
  </si>
  <si>
    <t>Nitrobenzene</t>
  </si>
  <si>
    <t>989-38-8</t>
  </si>
  <si>
    <t>Rhodamine 6G</t>
  </si>
  <si>
    <t>99-08-1, 99-99-0</t>
  </si>
  <si>
    <t>Nitrotoluenes</t>
  </si>
  <si>
    <t>99-55-8</t>
  </si>
  <si>
    <t>5-Nitro-ortho-toluidine</t>
  </si>
  <si>
    <t>99-56-9</t>
  </si>
  <si>
    <t>1,2-Diamino-4-nitrobenzene</t>
  </si>
  <si>
    <t>99-57-0</t>
  </si>
  <si>
    <t>2-Amino-4-nitrophenol</t>
  </si>
  <si>
    <t>99-59-2</t>
  </si>
  <si>
    <t>5-Nitro-ortho-anisidine</t>
  </si>
  <si>
    <t>99-80-9</t>
  </si>
  <si>
    <t>N-Methyl-N,4-dinitrosoaniline</t>
  </si>
  <si>
    <t>99-97-8</t>
  </si>
  <si>
    <t>N,N-Dimethyl-p-toluidine</t>
  </si>
  <si>
    <t>Nombre producto o agente</t>
  </si>
  <si>
    <t>Grupo</t>
  </si>
  <si>
    <t>Volumen</t>
  </si>
  <si>
    <t>Año</t>
  </si>
  <si>
    <t>Información adicional</t>
  </si>
  <si>
    <t>LISTADO DE SUSTANCIAS CANCERIGENAS
REPORTE DE LA IARC
Fecha actualizacion 05/06/2023</t>
  </si>
  <si>
    <t>Especificar el componente o nombre de sustancia controlada.</t>
  </si>
  <si>
    <t>DESCRIPCION</t>
  </si>
  <si>
    <t xml:space="preserve">NOMBRE DEL ITEM </t>
  </si>
  <si>
    <t>NOMBRE SUBITEM</t>
  </si>
  <si>
    <t>En esta casilla el sistema por defecto define, si la FDS esta actualizada o desactualizada</t>
  </si>
  <si>
    <t>Código:</t>
  </si>
  <si>
    <t xml:space="preserve">Versión:                                              </t>
  </si>
  <si>
    <t xml:space="preserve">Fecha: </t>
  </si>
  <si>
    <t>INVENTARIO DE SUSTANCIAS QUIMICAS</t>
  </si>
  <si>
    <r>
      <t>Reportar la densidad en g/cm</t>
    </r>
    <r>
      <rPr>
        <vertAlign val="superscript"/>
        <sz val="10"/>
        <rFont val="Arial Narrow"/>
        <family val="2"/>
      </rPr>
      <t>3</t>
    </r>
    <r>
      <rPr>
        <sz val="10"/>
        <rFont val="Arial Narrow"/>
        <family val="2"/>
      </rPr>
      <t xml:space="preserve"> de la sustancias</t>
    </r>
  </si>
  <si>
    <t>INVENTARIO DE SUSTANCIAS QUÍMICAS</t>
  </si>
  <si>
    <r>
      <t xml:space="preserve">NOMBRE DEL PRODUCTO
</t>
    </r>
    <r>
      <rPr>
        <sz val="16"/>
        <rFont val="Arial Narrow"/>
        <family val="2"/>
      </rPr>
      <t xml:space="preserve"> (Tal como en la FDS)</t>
    </r>
  </si>
  <si>
    <t>CANTIDAD</t>
  </si>
  <si>
    <t>Fecha de vencimiento</t>
  </si>
  <si>
    <t>CAS</t>
  </si>
  <si>
    <t>68476-34-6</t>
  </si>
  <si>
    <t>123-86-4</t>
  </si>
  <si>
    <t>141-78-6</t>
  </si>
  <si>
    <t>110-19-0</t>
  </si>
  <si>
    <t xml:space="preserve"> 108-21-4</t>
  </si>
  <si>
    <t>109-60-4</t>
  </si>
  <si>
    <t>67-64-1</t>
  </si>
  <si>
    <t xml:space="preserve"> 7647-01-0 </t>
  </si>
  <si>
    <t xml:space="preserve"> 7664-93-9</t>
  </si>
  <si>
    <t>1336-21-6</t>
  </si>
  <si>
    <t>108-24-7</t>
  </si>
  <si>
    <t>71-36-3</t>
  </si>
  <si>
    <t>497-19-8</t>
  </si>
  <si>
    <t>65997-15-1</t>
  </si>
  <si>
    <t>10035-04-8</t>
  </si>
  <si>
    <t>123-42-2</t>
  </si>
  <si>
    <t>1313-13-9</t>
  </si>
  <si>
    <t>60-29-7</t>
  </si>
  <si>
    <t>86290-81-5</t>
  </si>
  <si>
    <t>110-54-3</t>
  </si>
  <si>
    <t>1310-73-2</t>
  </si>
  <si>
    <t>10294-64-1</t>
  </si>
  <si>
    <t xml:space="preserve"> 67-56-1</t>
  </si>
  <si>
    <t>7681-57-4</t>
  </si>
  <si>
    <t xml:space="preserve"> 78-93-3</t>
  </si>
  <si>
    <t xml:space="preserve"> 108-10-1</t>
  </si>
  <si>
    <t xml:space="preserve"> 7722-64-7</t>
  </si>
  <si>
    <t>Fecha reportada</t>
  </si>
  <si>
    <t>Codificación de color</t>
  </si>
  <si>
    <t>FGL 010</t>
  </si>
  <si>
    <t>09</t>
  </si>
  <si>
    <t>28-08-2023</t>
  </si>
  <si>
    <t>Cantidad</t>
  </si>
  <si>
    <t>Se debe ingresar la cantidad de las sustancia química que se encuentra almacenada en el Taller o Laboratorio, con su respectiva unidad (kg, L, entre otros)</t>
  </si>
  <si>
    <t>Se debe colocar los siguientes datos del fabricante; nombre dirección y teléfono, los cuales aparecen asociados en la sección N°1 de la Ficha de Datos de Seguridad.</t>
  </si>
  <si>
    <t>Clasificación de peligrosidad NTC 1692 (Naciones Unidas)
SECCION 14</t>
  </si>
  <si>
    <t>Se debe elegir alguna de las opciones que están dentro de la lista desplegable, acorde a la información para el transporte que figure en el ítem 14 de la FDS</t>
  </si>
  <si>
    <t>Categoría toxicidad</t>
  </si>
  <si>
    <t>Se coloca en esta casilla la clasificación de la categoría de toxicidad, las cuales van de 1 a 5. Para su diligenciamiento se debe elegir una opción de la lista desplegable.</t>
  </si>
  <si>
    <r>
      <t xml:space="preserve">Se elije para esta condición una opción de la lista desplegable. Solo se confirman como sustancias cancerígenas aquellas que dentro de la lista publicada de la IARC, se cataloguen como </t>
    </r>
    <r>
      <rPr>
        <b/>
        <sz val="10"/>
        <rFont val="Arial Narrow"/>
        <family val="2"/>
      </rPr>
      <t>Grupo 1.</t>
    </r>
    <r>
      <rPr>
        <sz val="10"/>
        <rFont val="Arial Narrow"/>
        <family val="2"/>
      </rPr>
      <t xml:space="preserve"> </t>
    </r>
  </si>
  <si>
    <t>Categoría IARC</t>
  </si>
  <si>
    <r>
      <t xml:space="preserve">Con respecto a este ítem se debe revisar el numero de CAS de cada componente.
La lista de sustancias químicas de la IARC se encuentra dentro de este archivo en el libro denominado </t>
    </r>
    <r>
      <rPr>
        <b/>
        <sz val="10"/>
        <rFont val="Arial Narrow"/>
        <family val="2"/>
      </rPr>
      <t>"Sustancias cancerígenas".</t>
    </r>
  </si>
  <si>
    <r>
      <t xml:space="preserve">Se debe escoger una opción de la lista desplegable. Para efectos de la revisión se revisa con los numero de CAS, la lista reportada en este mismo archivo en el libro de </t>
    </r>
    <r>
      <rPr>
        <b/>
        <sz val="10"/>
        <rFont val="Arial Narrow"/>
        <family val="2"/>
      </rPr>
      <t>"Sustancias controladas"</t>
    </r>
  </si>
  <si>
    <t>Para esta clasificación existen cinco columnas, dos de físicos, una ambiental y dos de salud. Para ello en caso de que el producto sea peligrosa bajo SGA, sus pictogramas estarían relacionados en el ítem 2 ó 3 de la FDS. 
En caso de que el producto químico  no sea peligroso dentro de SGA o queden casillas sin llenar se debe colocar en todas ellas no aplica (selecciónelo de la lista desplegable), con el fin de que la etiqueta salga en forma adecuada.</t>
  </si>
  <si>
    <t>En esta casilla se colocan las opciones Atención o peligro o ninguna. Esta información se extrae igualmente de la FDS en la sección 2 ó 3.</t>
  </si>
  <si>
    <r>
      <t xml:space="preserve">Las frases H se define como las </t>
    </r>
    <r>
      <rPr>
        <b/>
        <sz val="10"/>
        <rFont val="Arial Narrow"/>
        <family val="2"/>
      </rPr>
      <t>Indicaciones de Peligro</t>
    </r>
    <r>
      <rPr>
        <sz val="10"/>
        <rFont val="Arial Narrow"/>
        <family val="2"/>
      </rPr>
      <t xml:space="preserve"> del producto químico, hacen referencia a los peligros físicos, peligros a la salud o peligros al medio ambiente. 
Esta Información se recolecta de la ficha de seguridad en las secciones 2 ó 3.</t>
    </r>
  </si>
  <si>
    <r>
      <t xml:space="preserve">Las frases P son conocidas como los </t>
    </r>
    <r>
      <rPr>
        <b/>
        <sz val="10"/>
        <rFont val="Arial Narrow"/>
        <family val="2"/>
      </rPr>
      <t>consejos de prudencia</t>
    </r>
    <r>
      <rPr>
        <sz val="10"/>
        <rFont val="Arial Narrow"/>
        <family val="2"/>
      </rPr>
      <t xml:space="preserve">, pueden ser de manera general, de prevención, de intervención, almacenamiento o eliminación (Relacionado con la disposición).
Esta Información se recolecta de la ficha de seguridad en las secciones 2, 7 ó 16 </t>
    </r>
  </si>
  <si>
    <t>Protección respiratoria</t>
  </si>
  <si>
    <t>En estas casillas solo se marca con una X los elementos que el ítem: 8 de las Fichas de Seguridad se relacionen para manejar el producto químico.</t>
  </si>
  <si>
    <t>Se escoge de la lista desplegable una de las opciones Si/No dependiendo de la disponibilidad que se tenga de la Ficha de Datos de Seguridad (FDS) de la sustancia química</t>
  </si>
  <si>
    <t>Fecha de revisión</t>
  </si>
  <si>
    <t xml:space="preserve">Se introduce la fecha que reporta la FDS (Ficha de Datos de Seguridad) para la ultima versión o fecha de actualización. </t>
  </si>
  <si>
    <t>Nombre del producto químico</t>
  </si>
  <si>
    <t>En esta casilla se coloca el nombre del producto que figura en la sección N°1 de la Ficha de Datos de Seguridad.</t>
  </si>
  <si>
    <t>Dentro de los estados se debe escoger una opción de la lista desplegable (Liquido, solido y gaseoso). Evitar ingresar la información manualmente.</t>
  </si>
  <si>
    <t>Identificación UN</t>
  </si>
  <si>
    <t>Se debe colocar el numero UN (Naciones Unidas) de cuatro dígitos que figura en el ítem 14 (Información para transporte) que figura en la Ficha de Datos de Seguridad.</t>
  </si>
  <si>
    <t>Se deben especificar todos los componentes que figuran en la sección N°3 (Componentes o composición) de la FDS (Ficha de Datos de Seguridad)</t>
  </si>
  <si>
    <t>Se ubican los numero de CAS de Los productos químicos  que fueron relacionadas debidamente en el ítem de composición (Ver información en la sección N°3 de la FDS)</t>
  </si>
  <si>
    <t>Laboratorio o Área</t>
  </si>
  <si>
    <t>Colocar el nombre del laboratorio o área donde se ubica el producto químico.</t>
  </si>
  <si>
    <t>FECHA DE VENCIMIENTO REPORTADA EN EL RECIPIENTE
(Día-Mes-Año)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</si>
</sst>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2]\ * #,##0.00_ ;_ [$€-2]\ * \-#,##0.00_ ;_ [$€-2]\ * &quot;-&quot;??_ "/>
    <numFmt numFmtId="165" formatCode="yyyy\-mm\-dd;@"/>
  </numFmts>
  <fonts count="6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b/>
      <sz val="9"/>
      <name val="Arial"/>
      <family val="2"/>
    </font>
    <font>
      <sz val="9"/>
      <name val="Arial"/>
      <family val="2"/>
    </font>
    <font>
      <u/>
      <sz val="10"/>
      <color indexed="12"/>
      <name val="Arial"/>
      <family val="2"/>
    </font>
    <font>
      <sz val="8"/>
      <color theme="4" tint="-0.249977111117893"/>
      <name val="Arial"/>
      <family val="2"/>
    </font>
    <font>
      <sz val="11"/>
      <name val="Arial"/>
      <family val="2"/>
    </font>
    <font>
      <sz val="10"/>
      <color indexed="8"/>
      <name val="Arial"/>
      <family val="2"/>
    </font>
    <font>
      <sz val="10"/>
      <color theme="4" tint="-0.249977111117893"/>
      <name val="Arial"/>
      <family val="2"/>
    </font>
    <font>
      <b/>
      <sz val="10"/>
      <name val="Gill Sans MT"/>
      <family val="2"/>
    </font>
    <font>
      <b/>
      <sz val="12"/>
      <name val="Gill Sans MT"/>
      <family val="2"/>
    </font>
    <font>
      <sz val="8"/>
      <name val="Gill Sans MT"/>
      <family val="2"/>
    </font>
    <font>
      <sz val="10"/>
      <name val="Gill Sans MT"/>
      <family val="2"/>
    </font>
    <font>
      <u/>
      <sz val="10"/>
      <name val="Gill Sans MT"/>
      <family val="2"/>
    </font>
    <font>
      <sz val="10"/>
      <color indexed="8"/>
      <name val="Gill Sans MT"/>
      <family val="2"/>
    </font>
    <font>
      <sz val="10"/>
      <color theme="4" tint="-0.249977111117893"/>
      <name val="Gill Sans MT"/>
      <family val="2"/>
    </font>
    <font>
      <sz val="12"/>
      <name val="Calibri"/>
      <family val="2"/>
    </font>
    <font>
      <sz val="11"/>
      <color rgb="FF000000"/>
      <name val="Arial"/>
      <family val="2"/>
    </font>
    <font>
      <sz val="10"/>
      <color rgb="FF222222"/>
      <name val="Calibri"/>
      <family val="2"/>
      <scheme val="minor"/>
    </font>
    <font>
      <sz val="11"/>
      <name val="Calibri"/>
      <family val="2"/>
    </font>
    <font>
      <b/>
      <sz val="12"/>
      <color theme="1"/>
      <name val="Arial Narrow"/>
      <family val="2"/>
    </font>
    <font>
      <b/>
      <sz val="11"/>
      <color theme="1"/>
      <name val="Arial Narrow"/>
      <family val="2"/>
    </font>
    <font>
      <b/>
      <sz val="36"/>
      <color theme="1"/>
      <name val="Arial Narrow"/>
      <family val="2"/>
    </font>
    <font>
      <sz val="11"/>
      <color theme="1"/>
      <name val="Arial Narrow"/>
      <family val="2"/>
    </font>
    <font>
      <b/>
      <sz val="10"/>
      <name val="Arial Narrow"/>
      <family val="2"/>
    </font>
    <font>
      <sz val="10"/>
      <name val="Arial Narrow"/>
      <family val="2"/>
    </font>
    <font>
      <vertAlign val="superscript"/>
      <sz val="10"/>
      <name val="Arial Narrow"/>
      <family val="2"/>
    </font>
    <font>
      <b/>
      <sz val="10"/>
      <color indexed="8"/>
      <name val="Arial Narrow"/>
      <family val="2"/>
    </font>
    <font>
      <b/>
      <sz val="11"/>
      <name val="Arial Narrow"/>
      <family val="2"/>
    </font>
    <font>
      <b/>
      <sz val="16"/>
      <name val="Arial Narrow"/>
      <family val="2"/>
    </font>
    <font>
      <sz val="36"/>
      <color theme="1"/>
      <name val="Arial Narrow"/>
      <family val="2"/>
    </font>
    <font>
      <sz val="11"/>
      <name val="Arial Narrow"/>
      <family val="2"/>
    </font>
    <font>
      <sz val="11"/>
      <color rgb="FF333333"/>
      <name val="Arial Narrow"/>
      <family val="2"/>
    </font>
    <font>
      <b/>
      <sz val="18"/>
      <name val="Arial Narrow"/>
      <family val="2"/>
    </font>
    <font>
      <b/>
      <sz val="10"/>
      <color indexed="11"/>
      <name val="Arial Narrow"/>
      <family val="2"/>
    </font>
    <font>
      <sz val="10"/>
      <color theme="0"/>
      <name val="Arial Narrow"/>
      <family val="2"/>
    </font>
    <font>
      <sz val="24"/>
      <color indexed="11"/>
      <name val="Arial Narrow"/>
      <family val="2"/>
    </font>
    <font>
      <sz val="10"/>
      <color indexed="11"/>
      <name val="Arial Narrow"/>
      <family val="2"/>
    </font>
    <font>
      <b/>
      <sz val="10"/>
      <color theme="0"/>
      <name val="Arial Narrow"/>
      <family val="2"/>
    </font>
    <font>
      <b/>
      <sz val="8"/>
      <color rgb="FF999999"/>
      <name val="Arial Narrow"/>
      <family val="2"/>
    </font>
    <font>
      <b/>
      <sz val="16"/>
      <color indexed="8"/>
      <name val="Arial Narrow"/>
      <family val="2"/>
    </font>
    <font>
      <sz val="14"/>
      <name val="Arial Narrow"/>
      <family val="2"/>
    </font>
    <font>
      <sz val="16"/>
      <name val="Arial Narrow"/>
      <family val="2"/>
    </font>
    <font>
      <b/>
      <sz val="14"/>
      <color indexed="9"/>
      <name val="Arial Narrow"/>
      <family val="2"/>
    </font>
    <font>
      <sz val="8"/>
      <name val="Arial Narrow"/>
      <family val="2"/>
    </font>
    <font>
      <sz val="14"/>
      <color rgb="FF000000"/>
      <name val="Arial Narrow"/>
      <family val="2"/>
    </font>
    <font>
      <sz val="14"/>
      <color indexed="8"/>
      <name val="Arial Narrow"/>
      <family val="2"/>
    </font>
    <font>
      <sz val="14"/>
      <color theme="1"/>
      <name val="Arial Narrow"/>
      <family val="2"/>
    </font>
    <font>
      <b/>
      <sz val="14"/>
      <name val="Arial Narrow"/>
      <family val="2"/>
    </font>
    <font>
      <sz val="14"/>
      <color rgb="FF222222"/>
      <name val="Arial Narrow"/>
      <family val="2"/>
    </font>
    <font>
      <sz val="14"/>
      <color theme="0"/>
      <name val="Arial Narrow"/>
      <family val="2"/>
    </font>
    <font>
      <sz val="8"/>
      <color theme="0"/>
      <name val="Arial"/>
      <family val="2"/>
    </font>
    <font>
      <sz val="8"/>
      <color theme="0"/>
      <name val="Arial Narrow"/>
      <family val="2"/>
    </font>
    <font>
      <b/>
      <sz val="48"/>
      <name val="Arial Narrow"/>
      <family val="2"/>
    </font>
  </fonts>
  <fills count="8">
    <fill>
      <patternFill patternType="none"/>
    </fill>
    <fill>
      <patternFill patternType="gray125"/>
    </fill>
    <fill>
      <patternFill patternType="solid">
        <fgColor theme="0"/>
        <bgColor indexed="64"/>
      </patternFill>
    </fill>
    <fill>
      <patternFill patternType="solid">
        <fgColor theme="8" tint="0.39997558519241921"/>
        <bgColor indexed="64"/>
      </patternFill>
    </fill>
    <fill>
      <patternFill patternType="solid">
        <fgColor theme="8" tint="0.39997558519241921"/>
        <bgColor indexed="9"/>
      </patternFill>
    </fill>
    <fill>
      <patternFill patternType="solid">
        <fgColor theme="0" tint="-0.249977111117893"/>
        <bgColor indexed="64"/>
      </patternFill>
    </fill>
    <fill>
      <patternFill patternType="solid">
        <fgColor rgb="FFFFFF00"/>
        <bgColor indexed="64"/>
      </patternFill>
    </fill>
    <fill>
      <patternFill patternType="solid">
        <fgColor theme="0" tint="-0.14999847407452621"/>
        <bgColor indexed="64"/>
      </patternFill>
    </fill>
  </fills>
  <borders count="18">
    <border>
      <left/>
      <right/>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diagonal/>
    </border>
  </borders>
  <cellStyleXfs count="10">
    <xf numFmtId="0" fontId="0" fillId="0" borderId="0"/>
    <xf numFmtId="164" fontId="6" fillId="0" borderId="0" applyFont="0" applyFill="0" applyBorder="0" applyAlignment="0" applyProtection="0"/>
    <xf numFmtId="0" fontId="11" fillId="0" borderId="0" applyNumberFormat="0" applyFill="0" applyBorder="0" applyAlignment="0" applyProtection="0">
      <alignment vertical="top"/>
      <protection locked="0"/>
    </xf>
    <xf numFmtId="0" fontId="6" fillId="0" borderId="0"/>
    <xf numFmtId="0" fontId="5" fillId="0" borderId="0"/>
    <xf numFmtId="0" fontId="4" fillId="0" borderId="0"/>
    <xf numFmtId="0" fontId="3" fillId="0" borderId="0"/>
    <xf numFmtId="0" fontId="2" fillId="0" borderId="0"/>
    <xf numFmtId="0" fontId="1" fillId="0" borderId="0"/>
    <xf numFmtId="0" fontId="26" fillId="0" borderId="0"/>
  </cellStyleXfs>
  <cellXfs count="344">
    <xf numFmtId="0" fontId="0" fillId="0" borderId="0" xfId="0"/>
    <xf numFmtId="0" fontId="8" fillId="0" borderId="0" xfId="3" applyFont="1" applyAlignment="1">
      <alignment horizontal="center" vertical="center"/>
    </xf>
    <xf numFmtId="0" fontId="6" fillId="0" borderId="0" xfId="3"/>
    <xf numFmtId="0" fontId="6" fillId="0" borderId="0" xfId="3" applyAlignment="1">
      <alignment horizontal="center" vertical="center"/>
    </xf>
    <xf numFmtId="0" fontId="6" fillId="0" borderId="0" xfId="3" applyAlignment="1">
      <alignment horizontal="center" vertical="center" wrapText="1"/>
    </xf>
    <xf numFmtId="0" fontId="6" fillId="0" borderId="0" xfId="3" applyAlignment="1">
      <alignment vertical="center"/>
    </xf>
    <xf numFmtId="0" fontId="6" fillId="0" borderId="0" xfId="3" applyAlignment="1">
      <alignment wrapText="1"/>
    </xf>
    <xf numFmtId="0" fontId="8" fillId="0" borderId="0" xfId="3" applyFont="1" applyAlignment="1">
      <alignment horizontal="center" vertical="center" wrapText="1"/>
    </xf>
    <xf numFmtId="0" fontId="10" fillId="0" borderId="0" xfId="0" applyFont="1" applyAlignment="1" applyProtection="1">
      <alignment horizontal="left" vertical="center" wrapText="1"/>
      <protection locked="0"/>
    </xf>
    <xf numFmtId="0" fontId="7" fillId="0" borderId="0" xfId="0" applyFont="1" applyProtection="1">
      <protection locked="0"/>
    </xf>
    <xf numFmtId="0" fontId="7" fillId="0" borderId="0" xfId="0" applyFont="1" applyAlignment="1" applyProtection="1">
      <alignment horizontal="center" vertical="center"/>
      <protection locked="0"/>
    </xf>
    <xf numFmtId="0" fontId="12" fillId="0" borderId="0" xfId="0" applyFont="1" applyProtection="1">
      <protection locked="0"/>
    </xf>
    <xf numFmtId="0" fontId="7" fillId="0" borderId="0" xfId="0" applyFont="1" applyAlignment="1" applyProtection="1">
      <alignment horizontal="center"/>
      <protection locked="0"/>
    </xf>
    <xf numFmtId="0" fontId="6" fillId="0" borderId="2" xfId="0" applyFont="1" applyBorder="1" applyAlignment="1" applyProtection="1">
      <alignment horizontal="center" vertical="center"/>
      <protection locked="0"/>
    </xf>
    <xf numFmtId="0" fontId="6" fillId="0" borderId="2" xfId="0" applyFont="1" applyBorder="1" applyAlignment="1" applyProtection="1">
      <alignment horizontal="center" vertical="center" wrapText="1"/>
      <protection locked="0"/>
    </xf>
    <xf numFmtId="0" fontId="6" fillId="0" borderId="2" xfId="0" applyFont="1" applyBorder="1" applyAlignment="1" applyProtection="1">
      <alignment horizontal="left" vertical="center" wrapText="1"/>
      <protection locked="0"/>
    </xf>
    <xf numFmtId="0" fontId="14" fillId="0" borderId="2" xfId="0" applyFont="1" applyBorder="1" applyAlignment="1" applyProtection="1">
      <alignment horizontal="left" vertical="center" wrapText="1"/>
      <protection locked="0"/>
    </xf>
    <xf numFmtId="0" fontId="14" fillId="0" borderId="2" xfId="0" applyFont="1" applyBorder="1" applyAlignment="1" applyProtection="1">
      <alignment horizontal="justify" vertical="center" wrapText="1"/>
      <protection locked="0"/>
    </xf>
    <xf numFmtId="0" fontId="15" fillId="0" borderId="2" xfId="0" applyFont="1" applyBorder="1" applyAlignment="1" applyProtection="1">
      <alignment horizontal="center" vertical="center" wrapText="1"/>
      <protection locked="0"/>
    </xf>
    <xf numFmtId="0" fontId="10" fillId="0" borderId="2" xfId="0" applyFont="1" applyBorder="1" applyAlignment="1" applyProtection="1">
      <alignment horizontal="left" vertical="center" wrapText="1"/>
      <protection locked="0"/>
    </xf>
    <xf numFmtId="0" fontId="7" fillId="0" borderId="2" xfId="0" applyFont="1" applyBorder="1" applyProtection="1">
      <protection locked="0"/>
    </xf>
    <xf numFmtId="0" fontId="19" fillId="0" borderId="2" xfId="0" applyFont="1" applyBorder="1" applyAlignment="1" applyProtection="1">
      <alignment horizontal="center" vertical="center"/>
      <protection locked="0"/>
    </xf>
    <xf numFmtId="0" fontId="19" fillId="0" borderId="2" xfId="0" applyFont="1" applyBorder="1" applyAlignment="1" applyProtection="1">
      <alignment horizontal="center" vertical="center" wrapText="1"/>
      <protection locked="0"/>
    </xf>
    <xf numFmtId="0" fontId="19" fillId="0" borderId="2" xfId="0" applyFont="1" applyBorder="1" applyAlignment="1">
      <alignment horizontal="center" vertical="center" wrapText="1"/>
    </xf>
    <xf numFmtId="0" fontId="20" fillId="0" borderId="2" xfId="2" applyFont="1" applyFill="1" applyBorder="1" applyAlignment="1" applyProtection="1">
      <alignment horizontal="center" vertical="center" wrapText="1"/>
      <protection locked="0"/>
    </xf>
    <xf numFmtId="0" fontId="21" fillId="0" borderId="2" xfId="0" applyFont="1" applyBorder="1" applyAlignment="1" applyProtection="1">
      <alignment horizontal="center" vertical="center" wrapText="1"/>
      <protection locked="0"/>
    </xf>
    <xf numFmtId="0" fontId="19" fillId="0" borderId="2" xfId="0" applyFont="1" applyBorder="1" applyAlignment="1" applyProtection="1">
      <alignment horizontal="justify" vertical="center" wrapText="1"/>
      <protection locked="0"/>
    </xf>
    <xf numFmtId="0" fontId="21" fillId="0" borderId="2" xfId="0" applyFont="1" applyBorder="1" applyAlignment="1" applyProtection="1">
      <alignment horizontal="justify" vertical="center" wrapText="1"/>
      <protection locked="0"/>
    </xf>
    <xf numFmtId="0" fontId="19" fillId="6" borderId="2" xfId="0" applyFont="1" applyFill="1" applyBorder="1" applyAlignment="1">
      <alignment horizontal="center" vertical="center" wrapText="1"/>
    </xf>
    <xf numFmtId="0" fontId="19" fillId="0" borderId="2" xfId="0" applyFont="1" applyBorder="1" applyAlignment="1" applyProtection="1">
      <alignment horizontal="left" vertical="center" wrapText="1"/>
      <protection locked="0"/>
    </xf>
    <xf numFmtId="0" fontId="22" fillId="0" borderId="2" xfId="0" applyFont="1" applyBorder="1" applyAlignment="1" applyProtection="1">
      <alignment horizontal="center" vertical="center" wrapText="1"/>
      <protection locked="0"/>
    </xf>
    <xf numFmtId="0" fontId="21" fillId="0" borderId="2" xfId="0" applyFont="1" applyBorder="1" applyAlignment="1" applyProtection="1">
      <alignment horizontal="left" vertical="center" wrapText="1"/>
      <protection locked="0"/>
    </xf>
    <xf numFmtId="0" fontId="24" fillId="0" borderId="2" xfId="0" applyFont="1" applyBorder="1" applyAlignment="1">
      <alignment horizontal="justify" vertical="center" wrapText="1"/>
    </xf>
    <xf numFmtId="0" fontId="13" fillId="0" borderId="2" xfId="0" applyFont="1" applyBorder="1" applyAlignment="1">
      <alignment horizontal="justify" vertical="center" wrapText="1"/>
    </xf>
    <xf numFmtId="0" fontId="13" fillId="0" borderId="2" xfId="0" applyFont="1" applyBorder="1" applyAlignment="1">
      <alignment horizontal="left" vertical="center" wrapText="1"/>
    </xf>
    <xf numFmtId="0" fontId="19" fillId="6" borderId="2" xfId="0" applyFont="1" applyFill="1" applyBorder="1" applyAlignment="1" applyProtection="1">
      <alignment horizontal="center" vertical="center" wrapText="1"/>
      <protection locked="0"/>
    </xf>
    <xf numFmtId="0" fontId="13" fillId="0" borderId="2" xfId="0" applyFont="1" applyBorder="1" applyAlignment="1">
      <alignment vertical="center" wrapText="1"/>
    </xf>
    <xf numFmtId="0" fontId="13" fillId="0" borderId="2" xfId="0" applyFont="1" applyBorder="1" applyAlignment="1">
      <alignment horizontal="center" vertical="center" wrapText="1"/>
    </xf>
    <xf numFmtId="14" fontId="10" fillId="0" borderId="2" xfId="0" applyNumberFormat="1" applyFont="1" applyBorder="1" applyAlignment="1" applyProtection="1">
      <alignment horizontal="left" vertical="center" wrapText="1"/>
      <protection locked="0"/>
    </xf>
    <xf numFmtId="0" fontId="23" fillId="0" borderId="2" xfId="0" applyFont="1" applyBorder="1" applyAlignment="1">
      <alignment horizontal="center" vertical="center" wrapText="1"/>
    </xf>
    <xf numFmtId="14" fontId="6" fillId="0" borderId="2" xfId="0" applyNumberFormat="1" applyFont="1" applyBorder="1"/>
    <xf numFmtId="0" fontId="9" fillId="0" borderId="2" xfId="0" applyFont="1" applyBorder="1" applyAlignment="1" applyProtection="1">
      <alignment horizontal="left" vertical="center" wrapText="1"/>
      <protection locked="0"/>
    </xf>
    <xf numFmtId="0" fontId="19" fillId="0" borderId="10" xfId="0" applyFont="1" applyBorder="1" applyAlignment="1" applyProtection="1">
      <alignment horizontal="center" vertical="center" wrapText="1"/>
      <protection locked="0"/>
    </xf>
    <xf numFmtId="0" fontId="19" fillId="0" borderId="10" xfId="0" applyFont="1" applyBorder="1" applyAlignment="1" applyProtection="1">
      <alignment horizontal="left" vertical="center" wrapText="1"/>
      <protection locked="0"/>
    </xf>
    <xf numFmtId="0" fontId="6" fillId="0" borderId="10" xfId="0" applyFont="1" applyBorder="1" applyAlignment="1" applyProtection="1">
      <alignment horizontal="left" vertical="center" wrapText="1"/>
      <protection locked="0"/>
    </xf>
    <xf numFmtId="0" fontId="21" fillId="6" borderId="2" xfId="0" applyFont="1" applyFill="1" applyBorder="1" applyAlignment="1" applyProtection="1">
      <alignment horizontal="justify" vertical="center" wrapText="1"/>
      <protection locked="0"/>
    </xf>
    <xf numFmtId="0" fontId="6" fillId="0" borderId="0" xfId="0" applyFont="1" applyAlignment="1">
      <alignment vertical="center" wrapText="1"/>
    </xf>
    <xf numFmtId="0" fontId="23" fillId="0" borderId="2" xfId="0" applyFont="1" applyBorder="1" applyAlignment="1">
      <alignment horizontal="justify" vertical="center" wrapText="1"/>
    </xf>
    <xf numFmtId="0" fontId="10" fillId="0" borderId="2" xfId="0" applyFont="1" applyBorder="1" applyAlignment="1" applyProtection="1">
      <alignment horizontal="justify" vertical="center" wrapText="1"/>
      <protection locked="0"/>
    </xf>
    <xf numFmtId="0" fontId="7" fillId="0" borderId="2" xfId="0" applyFont="1" applyBorder="1" applyAlignment="1" applyProtection="1">
      <alignment horizontal="center" vertical="center"/>
      <protection locked="0"/>
    </xf>
    <xf numFmtId="0" fontId="6" fillId="2" borderId="14" xfId="0" applyFont="1" applyFill="1" applyBorder="1" applyAlignment="1">
      <alignment horizontal="center" vertical="center"/>
    </xf>
    <xf numFmtId="0" fontId="6" fillId="2" borderId="10" xfId="0" applyFont="1" applyFill="1" applyBorder="1" applyAlignment="1">
      <alignment horizontal="center" vertical="center"/>
    </xf>
    <xf numFmtId="0" fontId="6" fillId="2" borderId="10" xfId="0" applyFont="1" applyFill="1" applyBorder="1" applyAlignment="1">
      <alignment horizontal="center" vertical="center" wrapText="1"/>
    </xf>
    <xf numFmtId="0" fontId="6" fillId="0" borderId="10" xfId="0" applyFont="1" applyBorder="1" applyAlignment="1">
      <alignment horizontal="center" vertical="center" wrapText="1"/>
    </xf>
    <xf numFmtId="0" fontId="6" fillId="0" borderId="2" xfId="0" applyFont="1" applyBorder="1" applyAlignment="1">
      <alignment horizontal="center" vertical="center" wrapText="1"/>
    </xf>
    <xf numFmtId="0" fontId="6" fillId="0" borderId="2" xfId="0" applyFont="1" applyBorder="1" applyAlignment="1">
      <alignment horizontal="center" wrapText="1"/>
    </xf>
    <xf numFmtId="0" fontId="6" fillId="0" borderId="2" xfId="0" applyFont="1" applyBorder="1" applyAlignment="1">
      <alignment horizontal="center" vertical="center"/>
    </xf>
    <xf numFmtId="0" fontId="6" fillId="2" borderId="2" xfId="0" applyFont="1" applyFill="1" applyBorder="1" applyAlignment="1">
      <alignment horizontal="center" vertical="center"/>
    </xf>
    <xf numFmtId="0" fontId="6" fillId="2" borderId="2" xfId="0" applyFont="1" applyFill="1" applyBorder="1" applyAlignment="1">
      <alignment horizontal="center"/>
    </xf>
    <xf numFmtId="0" fontId="6" fillId="2" borderId="2" xfId="0" applyFont="1" applyFill="1" applyBorder="1" applyAlignment="1">
      <alignment horizontal="center" vertical="center" wrapText="1"/>
    </xf>
    <xf numFmtId="0" fontId="6" fillId="0" borderId="2" xfId="0" applyFont="1" applyBorder="1" applyAlignment="1">
      <alignment horizontal="center"/>
    </xf>
    <xf numFmtId="0" fontId="25" fillId="0" borderId="2" xfId="0" applyFont="1" applyBorder="1" applyAlignment="1">
      <alignment horizontal="center" vertical="center" wrapText="1"/>
    </xf>
    <xf numFmtId="0" fontId="6" fillId="2" borderId="15" xfId="0" applyFont="1" applyFill="1" applyBorder="1" applyAlignment="1">
      <alignment horizontal="center" vertical="center" wrapText="1"/>
    </xf>
    <xf numFmtId="0" fontId="6" fillId="2" borderId="16" xfId="0" applyFont="1" applyFill="1" applyBorder="1" applyAlignment="1">
      <alignment horizontal="center" vertical="center" wrapText="1"/>
    </xf>
    <xf numFmtId="0" fontId="6" fillId="6" borderId="2" xfId="0" applyFont="1" applyFill="1" applyBorder="1" applyAlignment="1">
      <alignment horizontal="center" vertical="center" wrapText="1"/>
    </xf>
    <xf numFmtId="0" fontId="6" fillId="0" borderId="2" xfId="0" applyFont="1" applyBorder="1" applyAlignment="1">
      <alignment vertical="center" wrapText="1"/>
    </xf>
    <xf numFmtId="0" fontId="6" fillId="2" borderId="2" xfId="0" applyFont="1" applyFill="1" applyBorder="1" applyAlignment="1">
      <alignment vertical="center" wrapText="1"/>
    </xf>
    <xf numFmtId="0" fontId="6" fillId="0" borderId="12" xfId="0" applyFont="1" applyBorder="1" applyAlignment="1">
      <alignment horizontal="center" vertical="center" wrapText="1"/>
    </xf>
    <xf numFmtId="0" fontId="6" fillId="0" borderId="10" xfId="0" applyFont="1" applyBorder="1" applyAlignment="1">
      <alignment horizontal="center" vertical="center"/>
    </xf>
    <xf numFmtId="0" fontId="6" fillId="2" borderId="2" xfId="0" applyFont="1" applyFill="1" applyBorder="1" applyAlignment="1">
      <alignment horizontal="center" wrapText="1"/>
    </xf>
    <xf numFmtId="0" fontId="6" fillId="0" borderId="8" xfId="0" applyFont="1" applyBorder="1" applyAlignment="1">
      <alignment horizontal="center" vertical="center"/>
    </xf>
    <xf numFmtId="0" fontId="6" fillId="2" borderId="2" xfId="0" applyFont="1" applyFill="1" applyBorder="1" applyAlignment="1">
      <alignment horizontal="center" vertical="top" wrapText="1"/>
    </xf>
    <xf numFmtId="0" fontId="6" fillId="0" borderId="10" xfId="0" applyFont="1" applyBorder="1" applyAlignment="1">
      <alignment horizontal="center" wrapText="1"/>
    </xf>
    <xf numFmtId="0" fontId="6" fillId="0" borderId="9" xfId="0" applyFont="1" applyBorder="1" applyAlignment="1">
      <alignment horizontal="center" vertical="center" wrapText="1"/>
    </xf>
    <xf numFmtId="0" fontId="6" fillId="2" borderId="2" xfId="0" applyFont="1" applyFill="1" applyBorder="1" applyAlignment="1">
      <alignment vertical="center"/>
    </xf>
    <xf numFmtId="0" fontId="6" fillId="0" borderId="8" xfId="0" applyFont="1" applyBorder="1" applyAlignment="1">
      <alignment horizontal="center" wrapText="1"/>
    </xf>
    <xf numFmtId="0" fontId="6" fillId="0" borderId="16" xfId="0" applyFont="1" applyBorder="1" applyAlignment="1">
      <alignment horizontal="center" vertical="center" wrapText="1"/>
    </xf>
    <xf numFmtId="0" fontId="6" fillId="0" borderId="17" xfId="0" applyFont="1" applyBorder="1" applyAlignment="1">
      <alignment horizontal="center" vertical="center" wrapText="1"/>
    </xf>
    <xf numFmtId="0" fontId="8" fillId="5" borderId="2" xfId="0" applyFont="1" applyFill="1" applyBorder="1" applyAlignment="1">
      <alignment horizontal="center"/>
    </xf>
    <xf numFmtId="0" fontId="8" fillId="0" borderId="2" xfId="0" applyFont="1" applyBorder="1" applyAlignment="1">
      <alignment horizontal="center"/>
    </xf>
    <xf numFmtId="0" fontId="6" fillId="0" borderId="2" xfId="0" applyFont="1" applyBorder="1" applyAlignment="1">
      <alignment horizontal="justify" vertical="center" wrapText="1"/>
    </xf>
    <xf numFmtId="0" fontId="28" fillId="2" borderId="2" xfId="0" applyFont="1" applyFill="1" applyBorder="1" applyAlignment="1">
      <alignment vertical="center"/>
    </xf>
    <xf numFmtId="0" fontId="28" fillId="2" borderId="2" xfId="0" applyFont="1" applyFill="1" applyBorder="1" applyAlignment="1">
      <alignment vertical="center" wrapText="1"/>
    </xf>
    <xf numFmtId="0" fontId="29" fillId="2" borderId="2" xfId="0" applyFont="1" applyFill="1" applyBorder="1" applyAlignment="1">
      <alignment vertical="center"/>
    </xf>
    <xf numFmtId="0" fontId="29" fillId="2" borderId="2" xfId="0" applyFont="1" applyFill="1" applyBorder="1" applyAlignment="1">
      <alignment vertical="center" wrapText="1"/>
    </xf>
    <xf numFmtId="0" fontId="31" fillId="0" borderId="0" xfId="0" applyFont="1" applyAlignment="1">
      <alignment vertical="center"/>
    </xf>
    <xf numFmtId="0" fontId="32" fillId="0" borderId="0" xfId="0" applyFont="1"/>
    <xf numFmtId="0" fontId="32" fillId="0" borderId="0" xfId="0" applyFont="1" applyAlignment="1">
      <alignment wrapText="1"/>
    </xf>
    <xf numFmtId="0" fontId="31" fillId="0" borderId="2" xfId="0" applyFont="1" applyBorder="1" applyAlignment="1">
      <alignment horizontal="center" vertical="center"/>
    </xf>
    <xf numFmtId="0" fontId="31" fillId="0" borderId="0" xfId="0" applyFont="1" applyAlignment="1">
      <alignment horizontal="center" vertical="center" wrapText="1"/>
    </xf>
    <xf numFmtId="0" fontId="31" fillId="4" borderId="10" xfId="0" applyFont="1" applyFill="1" applyBorder="1" applyAlignment="1" applyProtection="1">
      <alignment horizontal="center" vertical="center" wrapText="1"/>
      <protection locked="0"/>
    </xf>
    <xf numFmtId="0" fontId="32" fillId="0" borderId="0" xfId="0" applyFont="1" applyAlignment="1">
      <alignment horizontal="justify" vertical="center" wrapText="1"/>
    </xf>
    <xf numFmtId="0" fontId="34" fillId="3" borderId="14" xfId="0" applyFont="1" applyFill="1" applyBorder="1" applyAlignment="1" applyProtection="1">
      <alignment horizontal="center" vertical="center" wrapText="1"/>
      <protection locked="0"/>
    </xf>
    <xf numFmtId="0" fontId="34" fillId="4" borderId="10" xfId="0" applyFont="1" applyFill="1" applyBorder="1" applyAlignment="1" applyProtection="1">
      <alignment horizontal="center" vertical="center" wrapText="1"/>
      <protection locked="0"/>
    </xf>
    <xf numFmtId="0" fontId="31" fillId="5" borderId="10" xfId="0" applyFont="1" applyFill="1" applyBorder="1" applyAlignment="1" applyProtection="1">
      <alignment horizontal="center" vertical="center"/>
      <protection locked="0"/>
    </xf>
    <xf numFmtId="0" fontId="31" fillId="5" borderId="10" xfId="0" applyFont="1" applyFill="1" applyBorder="1" applyAlignment="1" applyProtection="1">
      <alignment horizontal="center" vertical="center" wrapText="1"/>
      <protection locked="0"/>
    </xf>
    <xf numFmtId="0" fontId="16" fillId="0" borderId="3" xfId="0" applyFont="1" applyBorder="1" applyAlignment="1" applyProtection="1">
      <alignment horizontal="left"/>
      <protection locked="0"/>
    </xf>
    <xf numFmtId="0" fontId="16" fillId="0" borderId="0" xfId="0" applyFont="1" applyAlignment="1" applyProtection="1">
      <alignment horizontal="left"/>
      <protection locked="0"/>
    </xf>
    <xf numFmtId="0" fontId="17" fillId="0" borderId="0" xfId="0" applyFont="1" applyAlignment="1" applyProtection="1">
      <alignment horizontal="center" wrapText="1"/>
      <protection locked="0"/>
    </xf>
    <xf numFmtId="0" fontId="17" fillId="0" borderId="0" xfId="0" applyFont="1" applyAlignment="1" applyProtection="1">
      <alignment horizontal="center"/>
      <protection locked="0"/>
    </xf>
    <xf numFmtId="0" fontId="17" fillId="0" borderId="0" xfId="0" applyFont="1" applyProtection="1">
      <protection locked="0"/>
    </xf>
    <xf numFmtId="0" fontId="18" fillId="0" borderId="0" xfId="0" applyFont="1" applyProtection="1">
      <protection locked="0"/>
    </xf>
    <xf numFmtId="0" fontId="30" fillId="2" borderId="2" xfId="0" applyFont="1" applyFill="1" applyBorder="1" applyAlignment="1">
      <alignment horizontal="left" vertical="center"/>
    </xf>
    <xf numFmtId="0" fontId="31" fillId="7" borderId="2" xfId="0" applyFont="1" applyFill="1" applyBorder="1" applyAlignment="1">
      <alignment horizontal="center" vertical="center"/>
    </xf>
    <xf numFmtId="0" fontId="35" fillId="0" borderId="2" xfId="9" applyFont="1" applyBorder="1" applyAlignment="1">
      <alignment horizontal="center" vertical="center" wrapText="1"/>
    </xf>
    <xf numFmtId="0" fontId="35" fillId="0" borderId="2" xfId="9" applyFont="1" applyBorder="1" applyAlignment="1">
      <alignment horizontal="center" wrapText="1"/>
    </xf>
    <xf numFmtId="0" fontId="38" fillId="0" borderId="2" xfId="9" applyFont="1" applyBorder="1" applyAlignment="1">
      <alignment horizontal="center" vertical="center" wrapText="1"/>
    </xf>
    <xf numFmtId="0" fontId="38" fillId="0" borderId="2" xfId="9" applyFont="1" applyBorder="1" applyAlignment="1">
      <alignment horizontal="justify" vertical="center" wrapText="1"/>
    </xf>
    <xf numFmtId="1" fontId="38" fillId="0" borderId="2" xfId="9" applyNumberFormat="1" applyFont="1" applyBorder="1" applyAlignment="1">
      <alignment horizontal="center" vertical="center" wrapText="1"/>
    </xf>
    <xf numFmtId="0" fontId="38" fillId="0" borderId="2" xfId="9" applyFont="1" applyBorder="1" applyAlignment="1">
      <alignment horizontal="center" wrapText="1"/>
    </xf>
    <xf numFmtId="0" fontId="32" fillId="0" borderId="2" xfId="0" applyFont="1" applyBorder="1" applyAlignment="1">
      <alignment horizontal="center" vertical="center" wrapText="1"/>
    </xf>
    <xf numFmtId="0" fontId="32" fillId="0" borderId="2" xfId="0" applyFont="1" applyBorder="1" applyAlignment="1">
      <alignment horizontal="center" wrapText="1"/>
    </xf>
    <xf numFmtId="0" fontId="32" fillId="0" borderId="0" xfId="0" applyFont="1" applyAlignment="1">
      <alignment horizontal="center" vertical="center"/>
    </xf>
    <xf numFmtId="0" fontId="32" fillId="0" borderId="0" xfId="0" applyFont="1" applyAlignment="1">
      <alignment horizontal="center"/>
    </xf>
    <xf numFmtId="0" fontId="32" fillId="0" borderId="2" xfId="0" applyFont="1" applyBorder="1" applyAlignment="1">
      <alignment horizontal="center" vertical="center"/>
    </xf>
    <xf numFmtId="0" fontId="39" fillId="0" borderId="2" xfId="0" applyFont="1" applyBorder="1" applyAlignment="1">
      <alignment horizontal="center" vertical="center" wrapText="1"/>
    </xf>
    <xf numFmtId="0" fontId="32" fillId="0" borderId="0" xfId="0" applyFont="1" applyProtection="1">
      <protection locked="0"/>
    </xf>
    <xf numFmtId="0" fontId="41" fillId="0" borderId="0" xfId="0" applyFont="1" applyAlignment="1">
      <alignment vertical="top" wrapText="1"/>
    </xf>
    <xf numFmtId="0" fontId="43" fillId="0" borderId="0" xfId="0" applyFont="1" applyAlignment="1" applyProtection="1">
      <alignment horizontal="center" vertical="center"/>
      <protection locked="0"/>
    </xf>
    <xf numFmtId="0" fontId="32" fillId="0" borderId="0" xfId="0" applyFont="1" applyAlignment="1" applyProtection="1">
      <alignment horizontal="center"/>
      <protection locked="0"/>
    </xf>
    <xf numFmtId="0" fontId="32" fillId="0" borderId="3" xfId="0" applyFont="1" applyBorder="1" applyProtection="1">
      <protection locked="0"/>
    </xf>
    <xf numFmtId="0" fontId="41" fillId="0" borderId="0" xfId="0" applyFont="1" applyAlignment="1" applyProtection="1">
      <alignment vertical="center"/>
      <protection locked="0"/>
    </xf>
    <xf numFmtId="0" fontId="44" fillId="0" borderId="0" xfId="0" applyFont="1" applyAlignment="1" applyProtection="1">
      <alignment vertical="center"/>
      <protection locked="0"/>
    </xf>
    <xf numFmtId="0" fontId="31" fillId="0" borderId="4" xfId="0" applyFont="1" applyBorder="1" applyAlignment="1">
      <alignment vertical="center" wrapText="1"/>
    </xf>
    <xf numFmtId="0" fontId="34" fillId="0" borderId="0" xfId="0" applyFont="1" applyAlignment="1">
      <alignment horizontal="center" vertical="center"/>
    </xf>
    <xf numFmtId="0" fontId="32" fillId="0" borderId="4" xfId="0" applyFont="1" applyBorder="1" applyAlignment="1">
      <alignment vertical="center" wrapText="1"/>
    </xf>
    <xf numFmtId="0" fontId="31" fillId="0" borderId="0" xfId="0" applyFont="1" applyAlignment="1">
      <alignment horizontal="center" vertical="center"/>
    </xf>
    <xf numFmtId="0" fontId="34" fillId="0" borderId="0" xfId="0" applyFont="1" applyAlignment="1" applyProtection="1">
      <alignment vertical="center"/>
      <protection locked="0"/>
    </xf>
    <xf numFmtId="0" fontId="45" fillId="0" borderId="3" xfId="0" applyFont="1" applyBorder="1" applyAlignment="1">
      <alignment horizontal="center" vertical="center" wrapText="1"/>
    </xf>
    <xf numFmtId="0" fontId="42" fillId="0" borderId="0" xfId="0" applyFont="1" applyProtection="1">
      <protection locked="0"/>
    </xf>
    <xf numFmtId="0" fontId="45" fillId="0" borderId="0" xfId="0" applyFont="1" applyAlignment="1" applyProtection="1">
      <alignment vertical="center"/>
      <protection locked="0"/>
    </xf>
    <xf numFmtId="0" fontId="31" fillId="0" borderId="4" xfId="0" applyFont="1" applyBorder="1" applyAlignment="1">
      <alignment vertical="center"/>
    </xf>
    <xf numFmtId="0" fontId="46" fillId="0" borderId="0" xfId="0" applyFont="1" applyProtection="1">
      <protection locked="0"/>
    </xf>
    <xf numFmtId="0" fontId="42" fillId="0" borderId="0" xfId="0" applyFont="1"/>
    <xf numFmtId="0" fontId="32" fillId="0" borderId="4" xfId="0" applyFont="1" applyBorder="1" applyProtection="1">
      <protection locked="0"/>
    </xf>
    <xf numFmtId="0" fontId="48" fillId="0" borderId="0" xfId="0" applyFont="1" applyProtection="1">
      <protection locked="0"/>
    </xf>
    <xf numFmtId="0" fontId="49" fillId="0" borderId="0" xfId="0" applyFont="1" applyAlignment="1" applyProtection="1">
      <alignment horizontal="left" wrapText="1"/>
      <protection locked="0"/>
    </xf>
    <xf numFmtId="0" fontId="49" fillId="0" borderId="0" xfId="0" applyFont="1" applyAlignment="1" applyProtection="1">
      <alignment horizontal="center" wrapText="1"/>
      <protection locked="0"/>
    </xf>
    <xf numFmtId="0" fontId="49" fillId="0" borderId="0" xfId="0" applyFont="1" applyProtection="1">
      <protection locked="0"/>
    </xf>
    <xf numFmtId="0" fontId="51" fillId="0" borderId="0" xfId="0" applyFont="1" applyProtection="1">
      <protection locked="0"/>
    </xf>
    <xf numFmtId="0" fontId="31" fillId="0" borderId="0" xfId="0" applyFont="1" applyAlignment="1" applyProtection="1">
      <alignment horizontal="center" vertical="center"/>
      <protection locked="0"/>
    </xf>
    <xf numFmtId="0" fontId="48" fillId="0" borderId="2" xfId="0" applyFont="1" applyBorder="1" applyAlignment="1" applyProtection="1">
      <alignment horizontal="center" vertical="center" wrapText="1"/>
      <protection locked="0"/>
    </xf>
    <xf numFmtId="0" fontId="47" fillId="4" borderId="2" xfId="0" applyFont="1" applyFill="1" applyBorder="1" applyAlignment="1" applyProtection="1">
      <alignment horizontal="center" vertical="center" wrapText="1"/>
      <protection locked="0"/>
    </xf>
    <xf numFmtId="0" fontId="48" fillId="0" borderId="0" xfId="0" applyFont="1" applyAlignment="1" applyProtection="1">
      <alignment horizontal="center"/>
      <protection locked="0"/>
    </xf>
    <xf numFmtId="0" fontId="36" fillId="4" borderId="2" xfId="0" applyFont="1" applyFill="1" applyBorder="1" applyAlignment="1" applyProtection="1">
      <alignment horizontal="center" vertical="center" wrapText="1"/>
      <protection locked="0"/>
    </xf>
    <xf numFmtId="0" fontId="36" fillId="5" borderId="2" xfId="0" applyFont="1" applyFill="1" applyBorder="1" applyAlignment="1" applyProtection="1">
      <alignment horizontal="center" vertical="center"/>
      <protection locked="0"/>
    </xf>
    <xf numFmtId="0" fontId="36" fillId="5" borderId="2" xfId="0" applyFont="1" applyFill="1" applyBorder="1" applyAlignment="1" applyProtection="1">
      <alignment horizontal="center" vertical="center" wrapText="1"/>
      <protection locked="0"/>
    </xf>
    <xf numFmtId="0" fontId="48" fillId="0" borderId="2" xfId="0" applyFont="1" applyBorder="1" applyAlignment="1" applyProtection="1">
      <alignment horizontal="center" vertical="center"/>
      <protection locked="0"/>
    </xf>
    <xf numFmtId="0" fontId="48" fillId="0" borderId="2" xfId="0" applyFont="1" applyBorder="1" applyAlignment="1">
      <alignment horizontal="center" vertical="center" wrapText="1"/>
    </xf>
    <xf numFmtId="0" fontId="52" fillId="0" borderId="2" xfId="0" applyFont="1" applyBorder="1" applyAlignment="1">
      <alignment horizontal="center" vertical="center" wrapText="1"/>
    </xf>
    <xf numFmtId="0" fontId="52" fillId="0" borderId="2" xfId="0" applyFont="1" applyBorder="1" applyAlignment="1">
      <alignment horizontal="center" vertical="center"/>
    </xf>
    <xf numFmtId="165" fontId="52" fillId="0" borderId="2" xfId="0" applyNumberFormat="1" applyFont="1" applyBorder="1" applyAlignment="1">
      <alignment horizontal="center" vertical="center" wrapText="1"/>
    </xf>
    <xf numFmtId="0" fontId="53" fillId="0" borderId="2" xfId="0" applyFont="1" applyBorder="1" applyAlignment="1" applyProtection="1">
      <alignment horizontal="left" vertical="center" wrapText="1"/>
      <protection locked="0"/>
    </xf>
    <xf numFmtId="0" fontId="53" fillId="0" borderId="2" xfId="0" applyFont="1" applyBorder="1" applyAlignment="1" applyProtection="1">
      <alignment horizontal="justify" vertical="center" wrapText="1"/>
      <protection locked="0"/>
    </xf>
    <xf numFmtId="0" fontId="54" fillId="0" borderId="2" xfId="0" applyFont="1" applyBorder="1" applyAlignment="1" applyProtection="1">
      <alignment horizontal="center" vertical="center" wrapText="1"/>
      <protection locked="0"/>
    </xf>
    <xf numFmtId="0" fontId="48" fillId="0" borderId="2" xfId="0" applyFont="1" applyBorder="1" applyAlignment="1">
      <alignment vertical="center" wrapText="1"/>
    </xf>
    <xf numFmtId="0" fontId="48" fillId="0" borderId="0" xfId="0" applyFont="1" applyAlignment="1">
      <alignment horizontal="center" vertical="center" wrapText="1"/>
    </xf>
    <xf numFmtId="0" fontId="52" fillId="0" borderId="2" xfId="2" applyFont="1" applyFill="1" applyBorder="1" applyAlignment="1" applyProtection="1">
      <alignment horizontal="center" vertical="center" wrapText="1"/>
    </xf>
    <xf numFmtId="14" fontId="48" fillId="0" borderId="2" xfId="0" applyNumberFormat="1" applyFont="1" applyBorder="1" applyAlignment="1">
      <alignment horizontal="center" vertical="center" wrapText="1"/>
    </xf>
    <xf numFmtId="0" fontId="48" fillId="0" borderId="2" xfId="0" applyFont="1" applyBorder="1" applyAlignment="1">
      <alignment horizontal="center" vertical="center"/>
    </xf>
    <xf numFmtId="0" fontId="53" fillId="0" borderId="2" xfId="0" applyFont="1" applyBorder="1" applyAlignment="1" applyProtection="1">
      <alignment horizontal="center" vertical="center" wrapText="1"/>
      <protection locked="0"/>
    </xf>
    <xf numFmtId="14" fontId="48" fillId="0" borderId="2" xfId="0" applyNumberFormat="1" applyFont="1" applyBorder="1" applyAlignment="1" applyProtection="1">
      <alignment horizontal="center" vertical="center" wrapText="1"/>
      <protection locked="0"/>
    </xf>
    <xf numFmtId="0" fontId="48" fillId="2" borderId="2" xfId="0" applyFont="1" applyFill="1" applyBorder="1" applyAlignment="1">
      <alignment horizontal="center" vertical="center" wrapText="1"/>
    </xf>
    <xf numFmtId="14" fontId="48" fillId="2" borderId="2" xfId="0" applyNumberFormat="1" applyFont="1" applyFill="1" applyBorder="1" applyAlignment="1">
      <alignment horizontal="center" vertical="center" wrapText="1"/>
    </xf>
    <xf numFmtId="0" fontId="48" fillId="0" borderId="2" xfId="0" applyFont="1" applyBorder="1" applyAlignment="1" applyProtection="1">
      <alignment vertical="center"/>
      <protection locked="0"/>
    </xf>
    <xf numFmtId="0" fontId="56" fillId="0" borderId="2" xfId="0" applyFont="1" applyBorder="1" applyAlignment="1">
      <alignment horizontal="center" vertical="center" wrapText="1"/>
    </xf>
    <xf numFmtId="0" fontId="48" fillId="0" borderId="2" xfId="0" applyFont="1" applyBorder="1" applyAlignment="1" applyProtection="1">
      <alignment horizontal="left" vertical="center"/>
      <protection locked="0"/>
    </xf>
    <xf numFmtId="0" fontId="48" fillId="0" borderId="0" xfId="0" applyFont="1" applyAlignment="1" applyProtection="1">
      <alignment vertical="center"/>
      <protection locked="0"/>
    </xf>
    <xf numFmtId="0" fontId="48" fillId="0" borderId="0" xfId="0" applyFont="1" applyAlignment="1" applyProtection="1">
      <alignment horizontal="left" vertical="center"/>
      <protection locked="0"/>
    </xf>
    <xf numFmtId="0" fontId="48" fillId="0" borderId="0" xfId="0" applyFont="1" applyAlignment="1" applyProtection="1">
      <alignment horizontal="center" vertical="center"/>
      <protection locked="0"/>
    </xf>
    <xf numFmtId="0" fontId="48" fillId="0" borderId="0" xfId="0" applyFont="1" applyAlignment="1" applyProtection="1">
      <alignment horizontal="center" vertical="center" wrapText="1"/>
      <protection locked="0"/>
    </xf>
    <xf numFmtId="0" fontId="48" fillId="0" borderId="0" xfId="0" applyFont="1" applyAlignment="1" applyProtection="1">
      <alignment horizontal="left"/>
      <protection locked="0"/>
    </xf>
    <xf numFmtId="0" fontId="48" fillId="0" borderId="0" xfId="0" applyFont="1" applyAlignment="1" applyProtection="1">
      <alignment horizontal="center" wrapText="1"/>
      <protection locked="0"/>
    </xf>
    <xf numFmtId="14" fontId="55" fillId="0" borderId="2" xfId="0" applyNumberFormat="1" applyFont="1" applyBorder="1" applyAlignment="1" applyProtection="1">
      <alignment horizontal="center" vertical="center" wrapText="1"/>
      <protection locked="0"/>
    </xf>
    <xf numFmtId="0" fontId="55" fillId="0" borderId="2" xfId="0" applyFont="1" applyBorder="1" applyAlignment="1" applyProtection="1">
      <alignment horizontal="center" vertical="center" wrapText="1"/>
      <protection locked="0"/>
    </xf>
    <xf numFmtId="14" fontId="48" fillId="0" borderId="2" xfId="0" applyNumberFormat="1" applyFont="1" applyBorder="1" applyAlignment="1" applyProtection="1">
      <alignment horizontal="center" vertical="center"/>
      <protection locked="0"/>
    </xf>
    <xf numFmtId="0" fontId="37" fillId="2" borderId="2" xfId="0" applyFont="1" applyFill="1" applyBorder="1" applyAlignment="1">
      <alignment vertical="center"/>
    </xf>
    <xf numFmtId="0" fontId="37" fillId="2" borderId="0" xfId="0" applyFont="1" applyFill="1" applyAlignment="1">
      <alignment vertical="center"/>
    </xf>
    <xf numFmtId="0" fontId="32" fillId="0" borderId="14" xfId="0" applyFont="1" applyBorder="1" applyProtection="1">
      <protection locked="0"/>
    </xf>
    <xf numFmtId="0" fontId="32" fillId="0" borderId="6" xfId="0" applyFont="1" applyBorder="1" applyProtection="1">
      <protection locked="0"/>
    </xf>
    <xf numFmtId="0" fontId="32" fillId="0" borderId="7" xfId="0" applyFont="1" applyBorder="1" applyProtection="1">
      <protection locked="0"/>
    </xf>
    <xf numFmtId="0" fontId="48" fillId="0" borderId="12" xfId="0" applyFont="1" applyBorder="1" applyAlignment="1" applyProtection="1">
      <alignment horizontal="center" vertical="center"/>
      <protection locked="0"/>
    </xf>
    <xf numFmtId="0" fontId="48" fillId="0" borderId="12" xfId="0" applyFont="1" applyBorder="1" applyAlignment="1">
      <alignment horizontal="center" vertical="center" wrapText="1"/>
    </xf>
    <xf numFmtId="0" fontId="52" fillId="0" borderId="12" xfId="0" applyFont="1" applyBorder="1" applyAlignment="1">
      <alignment horizontal="center" vertical="center" wrapText="1"/>
    </xf>
    <xf numFmtId="0" fontId="48" fillId="0" borderId="12" xfId="0" applyFont="1" applyBorder="1" applyAlignment="1" applyProtection="1">
      <alignment horizontal="center" vertical="center" wrapText="1"/>
      <protection locked="0"/>
    </xf>
    <xf numFmtId="0" fontId="52" fillId="0" borderId="12" xfId="0" applyFont="1" applyBorder="1" applyAlignment="1">
      <alignment horizontal="center" vertical="center"/>
    </xf>
    <xf numFmtId="165" fontId="52" fillId="0" borderId="12" xfId="0" applyNumberFormat="1" applyFont="1" applyBorder="1" applyAlignment="1">
      <alignment horizontal="center" vertical="center" wrapText="1"/>
    </xf>
    <xf numFmtId="0" fontId="53" fillId="0" borderId="12" xfId="0" applyFont="1" applyBorder="1" applyAlignment="1" applyProtection="1">
      <alignment horizontal="left" vertical="center" wrapText="1"/>
      <protection locked="0"/>
    </xf>
    <xf numFmtId="0" fontId="53" fillId="0" borderId="12" xfId="0" applyFont="1" applyBorder="1" applyAlignment="1" applyProtection="1">
      <alignment horizontal="center" vertical="center" wrapText="1"/>
      <protection locked="0"/>
    </xf>
    <xf numFmtId="0" fontId="53" fillId="0" borderId="12" xfId="0" applyFont="1" applyBorder="1" applyAlignment="1" applyProtection="1">
      <alignment horizontal="justify" vertical="center" wrapText="1"/>
      <protection locked="0"/>
    </xf>
    <xf numFmtId="14" fontId="48" fillId="0" borderId="12" xfId="0" applyNumberFormat="1" applyFont="1" applyBorder="1" applyAlignment="1" applyProtection="1">
      <alignment horizontal="center" vertical="center" wrapText="1"/>
      <protection locked="0"/>
    </xf>
    <xf numFmtId="0" fontId="50" fillId="0" borderId="0" xfId="0" applyFont="1" applyProtection="1">
      <protection locked="0"/>
    </xf>
    <xf numFmtId="0" fontId="49" fillId="3" borderId="2" xfId="0" applyFont="1" applyFill="1" applyBorder="1" applyAlignment="1" applyProtection="1">
      <alignment vertical="center"/>
      <protection locked="0"/>
    </xf>
    <xf numFmtId="1" fontId="49" fillId="0" borderId="0" xfId="0" applyNumberFormat="1" applyFont="1" applyAlignment="1" applyProtection="1">
      <alignment horizontal="left" wrapText="1"/>
      <protection locked="0"/>
    </xf>
    <xf numFmtId="0" fontId="37" fillId="2" borderId="0" xfId="0" applyFont="1" applyFill="1" applyAlignment="1">
      <alignment horizontal="center" vertical="center"/>
    </xf>
    <xf numFmtId="0" fontId="57" fillId="0" borderId="0" xfId="0" applyFont="1" applyAlignment="1" applyProtection="1">
      <alignment horizontal="center" vertical="center" wrapText="1"/>
      <protection locked="0"/>
    </xf>
    <xf numFmtId="0" fontId="58" fillId="0" borderId="0" xfId="0" applyFont="1" applyProtection="1">
      <protection locked="0"/>
    </xf>
    <xf numFmtId="0" fontId="59" fillId="0" borderId="0" xfId="0" applyFont="1" applyProtection="1">
      <protection locked="0"/>
    </xf>
    <xf numFmtId="49" fontId="30" fillId="2" borderId="2" xfId="0" applyNumberFormat="1" applyFont="1" applyFill="1" applyBorder="1" applyAlignment="1">
      <alignment horizontal="left" vertical="center"/>
    </xf>
    <xf numFmtId="0" fontId="32" fillId="0" borderId="2" xfId="0" applyFont="1" applyBorder="1" applyAlignment="1">
      <alignment vertical="center"/>
    </xf>
    <xf numFmtId="0" fontId="32" fillId="0" borderId="0" xfId="0" applyFont="1" applyAlignment="1">
      <alignment horizontal="justify" vertical="center"/>
    </xf>
    <xf numFmtId="0" fontId="30" fillId="0" borderId="2" xfId="0" applyFont="1" applyBorder="1" applyAlignment="1" applyProtection="1">
      <alignment vertical="center"/>
      <protection locked="0"/>
    </xf>
    <xf numFmtId="0" fontId="0" fillId="0" borderId="0" xfId="0" applyAlignment="1">
      <alignment vertical="center"/>
    </xf>
    <xf numFmtId="49" fontId="30" fillId="0" borderId="2" xfId="0" applyNumberFormat="1" applyFont="1" applyBorder="1" applyAlignment="1" applyProtection="1">
      <alignment vertical="center"/>
      <protection locked="0"/>
    </xf>
    <xf numFmtId="0" fontId="32" fillId="0" borderId="0" xfId="0" applyFont="1" applyAlignment="1">
      <alignment vertical="center"/>
    </xf>
    <xf numFmtId="0" fontId="32" fillId="0" borderId="0" xfId="0" applyFont="1" applyAlignment="1">
      <alignment vertical="center" wrapText="1"/>
    </xf>
    <xf numFmtId="0" fontId="6" fillId="0" borderId="0" xfId="0" applyFont="1" applyAlignment="1">
      <alignment vertical="center"/>
    </xf>
    <xf numFmtId="0" fontId="0" fillId="0" borderId="0" xfId="0" applyAlignment="1">
      <alignment vertical="center" wrapText="1"/>
    </xf>
    <xf numFmtId="0" fontId="32" fillId="0" borderId="2" xfId="0" applyFont="1" applyBorder="1" applyAlignment="1">
      <alignment horizontal="justify" vertical="center"/>
    </xf>
    <xf numFmtId="0" fontId="32" fillId="0" borderId="9" xfId="0" applyFont="1" applyBorder="1" applyAlignment="1">
      <alignment horizontal="justify" vertical="center"/>
    </xf>
    <xf numFmtId="0" fontId="32" fillId="0" borderId="1" xfId="0" applyFont="1" applyBorder="1" applyAlignment="1">
      <alignment horizontal="justify" vertical="center"/>
    </xf>
    <xf numFmtId="0" fontId="32" fillId="0" borderId="5" xfId="0" applyFont="1" applyBorder="1" applyAlignment="1">
      <alignment horizontal="justify" vertical="center"/>
    </xf>
    <xf numFmtId="0" fontId="32" fillId="0" borderId="3" xfId="0" applyFont="1" applyBorder="1" applyAlignment="1">
      <alignment horizontal="justify" vertical="center"/>
    </xf>
    <xf numFmtId="0" fontId="32" fillId="0" borderId="0" xfId="0" applyFont="1" applyAlignment="1">
      <alignment horizontal="justify" vertical="center"/>
    </xf>
    <xf numFmtId="0" fontId="32" fillId="0" borderId="4" xfId="0" applyFont="1" applyBorder="1" applyAlignment="1">
      <alignment horizontal="justify" vertical="center"/>
    </xf>
    <xf numFmtId="0" fontId="32" fillId="0" borderId="14" xfId="0" applyFont="1" applyBorder="1" applyAlignment="1">
      <alignment horizontal="justify" vertical="center"/>
    </xf>
    <xf numFmtId="0" fontId="32" fillId="0" borderId="6" xfId="0" applyFont="1" applyBorder="1" applyAlignment="1">
      <alignment horizontal="justify" vertical="center"/>
    </xf>
    <xf numFmtId="0" fontId="32" fillId="0" borderId="7" xfId="0" applyFont="1" applyBorder="1" applyAlignment="1">
      <alignment horizontal="justify" vertical="center"/>
    </xf>
    <xf numFmtId="0" fontId="32" fillId="0" borderId="2" xfId="0" applyFont="1" applyBorder="1" applyAlignment="1">
      <alignment horizontal="justify" vertical="center" wrapText="1"/>
    </xf>
    <xf numFmtId="0" fontId="32" fillId="0" borderId="9" xfId="0" applyFont="1" applyBorder="1" applyAlignment="1">
      <alignment horizontal="justify" vertical="center" wrapText="1"/>
    </xf>
    <xf numFmtId="0" fontId="27" fillId="2" borderId="0" xfId="0" applyFont="1" applyFill="1" applyAlignment="1">
      <alignment horizontal="center" vertical="center" wrapText="1"/>
    </xf>
    <xf numFmtId="0" fontId="36" fillId="0" borderId="2" xfId="0" applyFont="1" applyBorder="1" applyAlignment="1">
      <alignment horizontal="center" vertical="center" wrapText="1"/>
    </xf>
    <xf numFmtId="0" fontId="31" fillId="0" borderId="2" xfId="0" applyFont="1" applyBorder="1" applyAlignment="1">
      <alignment horizontal="center" vertical="center" wrapText="1"/>
    </xf>
    <xf numFmtId="0" fontId="31" fillId="0" borderId="2" xfId="0" applyFont="1" applyBorder="1" applyAlignment="1">
      <alignment horizontal="center" vertical="center"/>
    </xf>
    <xf numFmtId="0" fontId="34" fillId="4" borderId="2" xfId="0" applyFont="1" applyFill="1" applyBorder="1" applyAlignment="1" applyProtection="1">
      <alignment horizontal="center" vertical="center" wrapText="1"/>
      <protection locked="0"/>
    </xf>
    <xf numFmtId="0" fontId="34" fillId="3" borderId="8" xfId="0" applyFont="1" applyFill="1" applyBorder="1" applyAlignment="1" applyProtection="1">
      <alignment horizontal="center" vertical="center" wrapText="1"/>
      <protection locked="0"/>
    </xf>
    <xf numFmtId="0" fontId="34" fillId="3" borderId="12" xfId="0" applyFont="1" applyFill="1" applyBorder="1" applyAlignment="1" applyProtection="1">
      <alignment horizontal="center" vertical="center" wrapText="1"/>
      <protection locked="0"/>
    </xf>
    <xf numFmtId="0" fontId="34" fillId="5" borderId="8" xfId="0" applyFont="1" applyFill="1" applyBorder="1" applyAlignment="1" applyProtection="1">
      <alignment horizontal="center" vertical="center" wrapText="1"/>
      <protection locked="0"/>
    </xf>
    <xf numFmtId="0" fontId="34" fillId="5" borderId="14" xfId="0" applyFont="1" applyFill="1" applyBorder="1" applyAlignment="1" applyProtection="1">
      <alignment horizontal="center" vertical="center" wrapText="1"/>
      <protection locked="0"/>
    </xf>
    <xf numFmtId="0" fontId="34" fillId="5" borderId="2" xfId="0" applyFont="1" applyFill="1" applyBorder="1" applyAlignment="1" applyProtection="1">
      <alignment horizontal="center" vertical="center" wrapText="1"/>
      <protection locked="0"/>
    </xf>
    <xf numFmtId="0" fontId="34" fillId="4" borderId="10" xfId="0" applyFont="1" applyFill="1" applyBorder="1" applyAlignment="1" applyProtection="1">
      <alignment horizontal="center" vertical="center" wrapText="1"/>
      <protection locked="0"/>
    </xf>
    <xf numFmtId="0" fontId="34" fillId="4" borderId="13" xfId="0" applyFont="1" applyFill="1" applyBorder="1" applyAlignment="1" applyProtection="1">
      <alignment horizontal="center" vertical="center" wrapText="1"/>
      <protection locked="0"/>
    </xf>
    <xf numFmtId="0" fontId="31" fillId="4" borderId="2" xfId="0" applyFont="1" applyFill="1" applyBorder="1" applyAlignment="1" applyProtection="1">
      <alignment horizontal="center" vertical="center" wrapText="1"/>
      <protection locked="0"/>
    </xf>
    <xf numFmtId="0" fontId="31" fillId="4" borderId="10" xfId="0" applyFont="1" applyFill="1" applyBorder="1" applyAlignment="1" applyProtection="1">
      <alignment horizontal="center" vertical="center" wrapText="1"/>
      <protection locked="0"/>
    </xf>
    <xf numFmtId="0" fontId="34" fillId="3" borderId="2" xfId="0" applyFont="1" applyFill="1" applyBorder="1" applyAlignment="1" applyProtection="1">
      <alignment horizontal="center" vertical="center" wrapText="1"/>
      <protection locked="0"/>
    </xf>
    <xf numFmtId="0" fontId="31" fillId="3" borderId="9" xfId="0" applyFont="1" applyFill="1" applyBorder="1" applyAlignment="1" applyProtection="1">
      <alignment horizontal="center" vertical="center" wrapText="1"/>
      <protection locked="0"/>
    </xf>
    <xf numFmtId="0" fontId="31" fillId="3" borderId="14" xfId="0" applyFont="1" applyFill="1" applyBorder="1" applyAlignment="1" applyProtection="1">
      <alignment horizontal="center" vertical="center" wrapText="1"/>
      <protection locked="0"/>
    </xf>
    <xf numFmtId="0" fontId="31" fillId="3" borderId="1" xfId="0" applyFont="1" applyFill="1" applyBorder="1" applyAlignment="1" applyProtection="1">
      <alignment horizontal="center" vertical="center" wrapText="1"/>
      <protection locked="0"/>
    </xf>
    <xf numFmtId="0" fontId="31" fillId="3" borderId="6" xfId="0" applyFont="1" applyFill="1" applyBorder="1" applyAlignment="1" applyProtection="1">
      <alignment horizontal="center" vertical="center" wrapText="1"/>
      <protection locked="0"/>
    </xf>
    <xf numFmtId="0" fontId="31" fillId="3" borderId="5" xfId="0" applyFont="1" applyFill="1" applyBorder="1" applyAlignment="1" applyProtection="1">
      <alignment horizontal="center" vertical="center" wrapText="1"/>
      <protection locked="0"/>
    </xf>
    <xf numFmtId="0" fontId="31" fillId="3" borderId="7" xfId="0" applyFont="1" applyFill="1" applyBorder="1" applyAlignment="1" applyProtection="1">
      <alignment horizontal="center" vertical="center" wrapText="1"/>
      <protection locked="0"/>
    </xf>
    <xf numFmtId="0" fontId="34" fillId="3" borderId="9" xfId="0" applyFont="1" applyFill="1" applyBorder="1" applyAlignment="1" applyProtection="1">
      <alignment horizontal="center" vertical="center" wrapText="1"/>
      <protection locked="0"/>
    </xf>
    <xf numFmtId="0" fontId="34" fillId="3" borderId="5" xfId="0" applyFont="1" applyFill="1" applyBorder="1" applyAlignment="1" applyProtection="1">
      <alignment horizontal="center" vertical="center" wrapText="1"/>
      <protection locked="0"/>
    </xf>
    <xf numFmtId="0" fontId="34" fillId="3" borderId="14" xfId="0" applyFont="1" applyFill="1" applyBorder="1" applyAlignment="1" applyProtection="1">
      <alignment horizontal="center" vertical="center" wrapText="1"/>
      <protection locked="0"/>
    </xf>
    <xf numFmtId="0" fontId="34" fillId="3" borderId="7" xfId="0" applyFont="1" applyFill="1" applyBorder="1" applyAlignment="1" applyProtection="1">
      <alignment horizontal="center" vertical="center" wrapText="1"/>
      <protection locked="0"/>
    </xf>
    <xf numFmtId="0" fontId="34" fillId="3" borderId="10" xfId="0" applyFont="1" applyFill="1" applyBorder="1" applyAlignment="1" applyProtection="1">
      <alignment horizontal="center" vertical="center" wrapText="1"/>
      <protection locked="0"/>
    </xf>
    <xf numFmtId="0" fontId="34" fillId="3" borderId="11" xfId="0" applyFont="1" applyFill="1" applyBorder="1" applyAlignment="1" applyProtection="1">
      <alignment horizontal="center" vertical="center" wrapText="1"/>
      <protection locked="0"/>
    </xf>
    <xf numFmtId="0" fontId="34" fillId="5" borderId="10" xfId="0" applyFont="1" applyFill="1" applyBorder="1" applyAlignment="1" applyProtection="1">
      <alignment horizontal="center" vertical="center" wrapText="1"/>
      <protection locked="0"/>
    </xf>
    <xf numFmtId="0" fontId="7" fillId="0" borderId="0" xfId="0" applyFont="1" applyAlignment="1" applyProtection="1">
      <alignment horizontal="center"/>
      <protection locked="0"/>
    </xf>
    <xf numFmtId="0" fontId="7" fillId="0" borderId="4" xfId="0" applyFont="1" applyBorder="1" applyAlignment="1" applyProtection="1">
      <alignment horizontal="center"/>
      <protection locked="0"/>
    </xf>
    <xf numFmtId="0" fontId="7" fillId="0" borderId="6" xfId="0" applyFont="1" applyBorder="1" applyAlignment="1" applyProtection="1">
      <alignment horizontal="center"/>
      <protection locked="0"/>
    </xf>
    <xf numFmtId="0" fontId="7" fillId="0" borderId="7" xfId="0" applyFont="1" applyBorder="1" applyAlignment="1" applyProtection="1">
      <alignment horizontal="center"/>
      <protection locked="0"/>
    </xf>
    <xf numFmtId="0" fontId="60" fillId="0" borderId="2" xfId="0" applyFont="1" applyBorder="1" applyAlignment="1" applyProtection="1">
      <alignment horizontal="center" vertical="center" wrapText="1"/>
      <protection locked="0"/>
    </xf>
    <xf numFmtId="0" fontId="47" fillId="4" borderId="2" xfId="0" applyFont="1" applyFill="1" applyBorder="1" applyAlignment="1" applyProtection="1">
      <alignment horizontal="center" vertical="center" wrapText="1"/>
      <protection locked="0"/>
    </xf>
    <xf numFmtId="0" fontId="47" fillId="3" borderId="2" xfId="0" applyFont="1" applyFill="1" applyBorder="1" applyAlignment="1" applyProtection="1">
      <alignment horizontal="center" vertical="center" wrapText="1"/>
      <protection locked="0"/>
    </xf>
    <xf numFmtId="0" fontId="36" fillId="4" borderId="2" xfId="0" applyFont="1" applyFill="1" applyBorder="1" applyAlignment="1" applyProtection="1">
      <alignment horizontal="center" vertical="center" wrapText="1"/>
      <protection locked="0"/>
    </xf>
    <xf numFmtId="0" fontId="47" fillId="5" borderId="2" xfId="0" applyFont="1" applyFill="1" applyBorder="1" applyAlignment="1" applyProtection="1">
      <alignment horizontal="center" vertical="center" wrapText="1"/>
      <protection locked="0"/>
    </xf>
    <xf numFmtId="0" fontId="36" fillId="3" borderId="2" xfId="0" applyFont="1" applyFill="1" applyBorder="1" applyAlignment="1" applyProtection="1">
      <alignment horizontal="center" vertical="center" wrapText="1"/>
      <protection locked="0"/>
    </xf>
    <xf numFmtId="0" fontId="8" fillId="0" borderId="0" xfId="3" applyFont="1" applyAlignment="1">
      <alignment horizontal="center" vertical="center"/>
    </xf>
    <xf numFmtId="0" fontId="8" fillId="0" borderId="0" xfId="3" applyFont="1" applyAlignment="1">
      <alignment horizontal="center" vertical="center" wrapText="1"/>
    </xf>
    <xf numFmtId="0" fontId="6" fillId="0" borderId="0" xfId="3" applyAlignment="1">
      <alignment horizontal="center" vertical="center" wrapText="1"/>
    </xf>
    <xf numFmtId="0" fontId="6" fillId="0" borderId="0" xfId="3" applyAlignment="1">
      <alignment horizontal="center" vertical="center"/>
    </xf>
    <xf numFmtId="0" fontId="31" fillId="0" borderId="2" xfId="0" applyFont="1" applyBorder="1" applyAlignment="1" applyProtection="1">
      <alignment horizontal="center" vertical="center" wrapText="1"/>
      <protection locked="0"/>
    </xf>
    <xf numFmtId="0" fontId="31" fillId="0" borderId="10" xfId="0" applyFont="1" applyBorder="1" applyAlignment="1" applyProtection="1">
      <alignment horizontal="center" vertical="center" wrapText="1"/>
      <protection locked="0"/>
    </xf>
    <xf numFmtId="0" fontId="31" fillId="0" borderId="10" xfId="0" applyFont="1" applyBorder="1" applyAlignment="1" applyProtection="1">
      <alignment horizontal="center" vertical="center"/>
      <protection locked="0"/>
    </xf>
    <xf numFmtId="0" fontId="31" fillId="0" borderId="13" xfId="0" applyFont="1" applyBorder="1" applyAlignment="1" applyProtection="1">
      <alignment horizontal="center" vertical="center"/>
      <protection locked="0"/>
    </xf>
    <xf numFmtId="0" fontId="31" fillId="0" borderId="11" xfId="0" applyFont="1" applyBorder="1" applyAlignment="1" applyProtection="1">
      <alignment horizontal="center" vertical="center"/>
      <protection locked="0"/>
    </xf>
    <xf numFmtId="0" fontId="32" fillId="0" borderId="10" xfId="0" applyFont="1" applyBorder="1" applyAlignment="1" applyProtection="1">
      <alignment horizontal="center" vertical="center"/>
      <protection locked="0"/>
    </xf>
    <xf numFmtId="0" fontId="32" fillId="0" borderId="13" xfId="0" applyFont="1" applyBorder="1" applyAlignment="1" applyProtection="1">
      <alignment horizontal="center" vertical="center"/>
      <protection locked="0"/>
    </xf>
    <xf numFmtId="0" fontId="32" fillId="0" borderId="11" xfId="0" applyFont="1" applyBorder="1" applyAlignment="1" applyProtection="1">
      <alignment horizontal="center" vertical="center"/>
      <protection locked="0"/>
    </xf>
    <xf numFmtId="0" fontId="41" fillId="0" borderId="2" xfId="0" applyFont="1" applyBorder="1" applyAlignment="1">
      <alignment horizontal="center" vertical="top" wrapText="1"/>
    </xf>
    <xf numFmtId="0" fontId="42" fillId="0" borderId="2" xfId="0" applyFont="1" applyBorder="1" applyAlignment="1" applyProtection="1">
      <alignment horizontal="center" vertical="center"/>
      <protection locked="0"/>
    </xf>
    <xf numFmtId="0" fontId="40" fillId="7" borderId="9" xfId="0" applyFont="1" applyFill="1" applyBorder="1" applyAlignment="1" applyProtection="1">
      <alignment horizontal="center" vertical="center"/>
      <protection locked="0"/>
    </xf>
    <xf numFmtId="0" fontId="40" fillId="7" borderId="1" xfId="0" applyFont="1" applyFill="1" applyBorder="1" applyAlignment="1" applyProtection="1">
      <alignment horizontal="center" vertical="center"/>
      <protection locked="0"/>
    </xf>
    <xf numFmtId="0" fontId="40" fillId="7" borderId="5" xfId="0" applyFont="1" applyFill="1" applyBorder="1" applyAlignment="1" applyProtection="1">
      <alignment horizontal="center" vertical="center"/>
      <protection locked="0"/>
    </xf>
    <xf numFmtId="0" fontId="31" fillId="0" borderId="2" xfId="0" applyFont="1" applyBorder="1" applyAlignment="1" applyProtection="1">
      <alignment horizontal="center" vertical="center"/>
      <protection locked="0"/>
    </xf>
    <xf numFmtId="0" fontId="31" fillId="0" borderId="9" xfId="0" applyFont="1" applyBorder="1" applyAlignment="1" applyProtection="1">
      <alignment horizontal="center"/>
      <protection locked="0"/>
    </xf>
    <xf numFmtId="0" fontId="31" fillId="0" borderId="1" xfId="0" applyFont="1" applyBorder="1" applyAlignment="1" applyProtection="1">
      <alignment horizontal="center"/>
      <protection locked="0"/>
    </xf>
    <xf numFmtId="0" fontId="31" fillId="0" borderId="5" xfId="0" applyFont="1" applyBorder="1" applyAlignment="1" applyProtection="1">
      <alignment horizontal="center"/>
      <protection locked="0"/>
    </xf>
    <xf numFmtId="0" fontId="31" fillId="0" borderId="13" xfId="0" applyFont="1" applyBorder="1" applyAlignment="1">
      <alignment horizontal="center" vertical="center"/>
    </xf>
    <xf numFmtId="0" fontId="32" fillId="0" borderId="2" xfId="0" applyFont="1" applyBorder="1" applyAlignment="1">
      <alignment horizontal="center" vertical="center" wrapText="1"/>
    </xf>
    <xf numFmtId="0" fontId="32" fillId="0" borderId="1" xfId="0" applyFont="1" applyBorder="1" applyAlignment="1">
      <alignment horizontal="justify" vertical="center" wrapText="1"/>
    </xf>
    <xf numFmtId="0" fontId="32" fillId="0" borderId="0" xfId="0" applyFont="1" applyAlignment="1">
      <alignment horizontal="justify" vertical="center" wrapText="1"/>
    </xf>
    <xf numFmtId="0" fontId="32" fillId="0" borderId="6" xfId="0" applyFont="1" applyBorder="1" applyAlignment="1">
      <alignment horizontal="justify" vertical="center" wrapText="1"/>
    </xf>
    <xf numFmtId="0" fontId="31" fillId="2" borderId="10" xfId="0" applyFont="1" applyFill="1" applyBorder="1" applyAlignment="1" applyProtection="1">
      <alignment horizontal="center" vertical="center" wrapText="1"/>
      <protection locked="0"/>
    </xf>
    <xf numFmtId="0" fontId="31" fillId="2" borderId="13" xfId="0" applyFont="1" applyFill="1" applyBorder="1" applyAlignment="1" applyProtection="1">
      <alignment horizontal="center" vertical="center" wrapText="1"/>
      <protection locked="0"/>
    </xf>
    <xf numFmtId="0" fontId="31" fillId="2" borderId="11" xfId="0" applyFont="1" applyFill="1" applyBorder="1" applyAlignment="1" applyProtection="1">
      <alignment horizontal="center" vertical="center" wrapText="1"/>
      <protection locked="0"/>
    </xf>
    <xf numFmtId="0" fontId="32" fillId="2" borderId="10" xfId="0" applyFont="1" applyFill="1" applyBorder="1" applyAlignment="1" applyProtection="1">
      <alignment horizontal="center" vertical="center"/>
      <protection locked="0"/>
    </xf>
    <xf numFmtId="0" fontId="32" fillId="2" borderId="13" xfId="0" applyFont="1" applyFill="1" applyBorder="1" applyAlignment="1" applyProtection="1">
      <alignment horizontal="center" vertical="center"/>
      <protection locked="0"/>
    </xf>
    <xf numFmtId="0" fontId="32" fillId="2" borderId="11" xfId="0" applyFont="1" applyFill="1" applyBorder="1" applyAlignment="1" applyProtection="1">
      <alignment horizontal="center" vertical="center"/>
      <protection locked="0"/>
    </xf>
    <xf numFmtId="0" fontId="31" fillId="2" borderId="2" xfId="0" applyFont="1" applyFill="1" applyBorder="1" applyAlignment="1" applyProtection="1">
      <alignment horizontal="center" vertical="center"/>
      <protection locked="0"/>
    </xf>
    <xf numFmtId="0" fontId="32" fillId="2" borderId="2" xfId="0" applyFont="1" applyFill="1" applyBorder="1" applyAlignment="1" applyProtection="1">
      <alignment horizontal="center" vertical="center" wrapText="1"/>
      <protection locked="0"/>
    </xf>
    <xf numFmtId="0" fontId="31" fillId="2" borderId="10" xfId="0" applyFont="1" applyFill="1" applyBorder="1" applyAlignment="1" applyProtection="1">
      <alignment horizontal="center" vertical="center"/>
      <protection locked="0"/>
    </xf>
    <xf numFmtId="0" fontId="31" fillId="2" borderId="13" xfId="0" applyFont="1" applyFill="1" applyBorder="1" applyAlignment="1" applyProtection="1">
      <alignment horizontal="center" vertical="center"/>
      <protection locked="0"/>
    </xf>
    <xf numFmtId="0" fontId="31" fillId="2" borderId="11" xfId="0" applyFont="1" applyFill="1" applyBorder="1" applyAlignment="1" applyProtection="1">
      <alignment horizontal="center" vertical="center"/>
      <protection locked="0"/>
    </xf>
    <xf numFmtId="0" fontId="31" fillId="0" borderId="13" xfId="0" applyFont="1" applyBorder="1" applyAlignment="1">
      <alignment horizontal="center" vertical="center" wrapText="1"/>
    </xf>
    <xf numFmtId="0" fontId="31" fillId="0" borderId="11" xfId="0" applyFont="1" applyBorder="1" applyAlignment="1">
      <alignment horizontal="center" vertical="center" wrapText="1"/>
    </xf>
    <xf numFmtId="0" fontId="32" fillId="0" borderId="5" xfId="0" applyFont="1" applyBorder="1" applyAlignment="1">
      <alignment horizontal="justify" vertical="center" wrapText="1"/>
    </xf>
    <xf numFmtId="0" fontId="32" fillId="0" borderId="4" xfId="0" applyFont="1" applyBorder="1" applyAlignment="1">
      <alignment horizontal="justify" vertical="center" wrapText="1"/>
    </xf>
    <xf numFmtId="0" fontId="32" fillId="0" borderId="7" xfId="0" applyFont="1" applyBorder="1" applyAlignment="1">
      <alignment horizontal="justify" vertical="center" wrapText="1"/>
    </xf>
    <xf numFmtId="0" fontId="45" fillId="0" borderId="3" xfId="0" applyFont="1" applyBorder="1" applyAlignment="1">
      <alignment horizontal="center" vertical="center" wrapText="1"/>
    </xf>
    <xf numFmtId="0" fontId="45" fillId="0" borderId="0" xfId="0" applyFont="1" applyAlignment="1">
      <alignment horizontal="center" vertical="center" wrapText="1"/>
    </xf>
    <xf numFmtId="0" fontId="45" fillId="0" borderId="4" xfId="0" applyFont="1" applyBorder="1" applyAlignment="1">
      <alignment horizontal="center" vertical="center" wrapText="1"/>
    </xf>
    <xf numFmtId="0" fontId="45" fillId="0" borderId="14" xfId="0" applyFont="1" applyBorder="1" applyAlignment="1">
      <alignment horizontal="center" vertical="center" wrapText="1"/>
    </xf>
    <xf numFmtId="0" fontId="45" fillId="0" borderId="6" xfId="0" applyFont="1" applyBorder="1" applyAlignment="1">
      <alignment horizontal="center" vertical="center" wrapText="1"/>
    </xf>
    <xf numFmtId="0" fontId="45" fillId="0" borderId="7" xfId="0" applyFont="1" applyBorder="1" applyAlignment="1">
      <alignment horizontal="center" vertical="center" wrapText="1"/>
    </xf>
    <xf numFmtId="0" fontId="31" fillId="0" borderId="1" xfId="0" applyFont="1" applyBorder="1" applyAlignment="1">
      <alignment horizontal="center" vertical="center" wrapText="1"/>
    </xf>
    <xf numFmtId="0" fontId="31" fillId="0" borderId="8" xfId="0" applyFont="1" applyBorder="1" applyAlignment="1">
      <alignment horizontal="center" vertical="center" wrapText="1"/>
    </xf>
    <xf numFmtId="0" fontId="32" fillId="0" borderId="0" xfId="0" applyFont="1" applyAlignment="1" applyProtection="1">
      <alignment horizontal="center" vertical="top"/>
      <protection locked="0"/>
    </xf>
    <xf numFmtId="0" fontId="32" fillId="0" borderId="2" xfId="0" applyFont="1" applyBorder="1" applyAlignment="1" applyProtection="1">
      <alignment horizontal="center" vertical="center" wrapText="1"/>
      <protection locked="0"/>
    </xf>
    <xf numFmtId="0" fontId="32" fillId="0" borderId="2" xfId="0" applyFont="1" applyBorder="1" applyAlignment="1" applyProtection="1">
      <alignment horizontal="center" vertical="center"/>
      <protection locked="0"/>
    </xf>
    <xf numFmtId="0" fontId="32" fillId="0" borderId="9" xfId="0" applyFont="1" applyBorder="1" applyAlignment="1" applyProtection="1">
      <alignment horizontal="center" vertical="center" wrapText="1"/>
      <protection locked="0"/>
    </xf>
    <xf numFmtId="0" fontId="32" fillId="0" borderId="1" xfId="0" applyFont="1" applyBorder="1" applyAlignment="1" applyProtection="1">
      <alignment horizontal="center" vertical="center" wrapText="1"/>
      <protection locked="0"/>
    </xf>
    <xf numFmtId="0" fontId="32" fillId="0" borderId="5" xfId="0" applyFont="1" applyBorder="1" applyAlignment="1" applyProtection="1">
      <alignment horizontal="center" vertical="center" wrapText="1"/>
      <protection locked="0"/>
    </xf>
    <xf numFmtId="0" fontId="32" fillId="0" borderId="3" xfId="0" applyFont="1" applyBorder="1" applyAlignment="1" applyProtection="1">
      <alignment horizontal="center" vertical="center" wrapText="1"/>
      <protection locked="0"/>
    </xf>
    <xf numFmtId="0" fontId="32" fillId="0" borderId="0" xfId="0" applyFont="1" applyAlignment="1" applyProtection="1">
      <alignment horizontal="center" vertical="center" wrapText="1"/>
      <protection locked="0"/>
    </xf>
    <xf numFmtId="0" fontId="32" fillId="0" borderId="4" xfId="0" applyFont="1" applyBorder="1" applyAlignment="1" applyProtection="1">
      <alignment horizontal="center" vertical="center" wrapText="1"/>
      <protection locked="0"/>
    </xf>
    <xf numFmtId="0" fontId="32" fillId="0" borderId="14" xfId="0" applyFont="1" applyBorder="1" applyAlignment="1" applyProtection="1">
      <alignment horizontal="center" vertical="center" wrapText="1"/>
      <protection locked="0"/>
    </xf>
    <xf numFmtId="0" fontId="32" fillId="0" borderId="6" xfId="0" applyFont="1" applyBorder="1" applyAlignment="1" applyProtection="1">
      <alignment horizontal="center" vertical="center" wrapText="1"/>
      <protection locked="0"/>
    </xf>
    <xf numFmtId="0" fontId="32" fillId="0" borderId="7" xfId="0" applyFont="1" applyBorder="1" applyAlignment="1" applyProtection="1">
      <alignment horizontal="center" vertical="center" wrapText="1"/>
      <protection locked="0"/>
    </xf>
    <xf numFmtId="0" fontId="31" fillId="0" borderId="0" xfId="0" applyFont="1" applyAlignment="1">
      <alignment horizontal="center" vertical="center" wrapText="1"/>
    </xf>
    <xf numFmtId="0" fontId="31" fillId="2" borderId="2" xfId="0" applyFont="1" applyFill="1" applyBorder="1" applyAlignment="1" applyProtection="1">
      <alignment horizontal="center" vertical="center" wrapText="1"/>
      <protection locked="0"/>
    </xf>
    <xf numFmtId="0" fontId="31" fillId="0" borderId="0" xfId="0" applyFont="1" applyAlignment="1" applyProtection="1">
      <alignment horizontal="center" vertical="center"/>
      <protection locked="0"/>
    </xf>
    <xf numFmtId="0" fontId="31" fillId="0" borderId="10" xfId="0" applyFont="1" applyBorder="1" applyAlignment="1">
      <alignment horizontal="center" vertical="center" wrapText="1"/>
    </xf>
    <xf numFmtId="0" fontId="32" fillId="0" borderId="0" xfId="0" applyFont="1" applyAlignment="1">
      <alignment horizontal="center" vertical="center" wrapText="1"/>
    </xf>
    <xf numFmtId="0" fontId="32" fillId="0" borderId="0" xfId="0" applyFont="1" applyAlignment="1" applyProtection="1">
      <alignment horizontal="center" vertical="center"/>
      <protection locked="0"/>
    </xf>
    <xf numFmtId="0" fontId="40" fillId="7" borderId="9" xfId="0" applyFont="1" applyFill="1" applyBorder="1" applyAlignment="1" applyProtection="1">
      <alignment horizontal="center" vertical="center" wrapText="1"/>
      <protection locked="0"/>
    </xf>
    <xf numFmtId="0" fontId="40" fillId="7" borderId="1" xfId="0" applyFont="1" applyFill="1" applyBorder="1" applyAlignment="1" applyProtection="1">
      <alignment horizontal="center" vertical="center" wrapText="1"/>
      <protection locked="0"/>
    </xf>
    <xf numFmtId="0" fontId="40" fillId="7" borderId="5" xfId="0" applyFont="1" applyFill="1" applyBorder="1" applyAlignment="1" applyProtection="1">
      <alignment horizontal="center" vertical="center" wrapText="1"/>
      <protection locked="0"/>
    </xf>
    <xf numFmtId="0" fontId="40" fillId="7" borderId="14" xfId="0" applyFont="1" applyFill="1" applyBorder="1" applyAlignment="1" applyProtection="1">
      <alignment horizontal="center" vertical="center" wrapText="1"/>
      <protection locked="0"/>
    </xf>
    <xf numFmtId="0" fontId="40" fillId="7" borderId="6" xfId="0" applyFont="1" applyFill="1" applyBorder="1" applyAlignment="1" applyProtection="1">
      <alignment horizontal="center" vertical="center" wrapText="1"/>
      <protection locked="0"/>
    </xf>
    <xf numFmtId="0" fontId="40" fillId="7" borderId="7" xfId="0" applyFont="1" applyFill="1" applyBorder="1" applyAlignment="1" applyProtection="1">
      <alignment horizontal="center" vertical="center" wrapText="1"/>
      <protection locked="0"/>
    </xf>
    <xf numFmtId="0" fontId="42" fillId="0" borderId="0" xfId="0" applyFont="1" applyAlignment="1" applyProtection="1">
      <alignment horizontal="center" vertical="center"/>
      <protection locked="0"/>
    </xf>
    <xf numFmtId="0" fontId="32" fillId="0" borderId="2" xfId="0" applyFont="1" applyBorder="1" applyAlignment="1">
      <alignment horizontal="center" vertical="center"/>
    </xf>
    <xf numFmtId="0" fontId="31" fillId="7" borderId="2" xfId="0" applyFont="1" applyFill="1" applyBorder="1" applyAlignment="1">
      <alignment horizontal="center" vertical="center" wrapText="1"/>
    </xf>
    <xf numFmtId="0" fontId="31" fillId="0" borderId="9" xfId="0" applyFont="1" applyBorder="1" applyAlignment="1">
      <alignment horizontal="center" vertical="center" wrapText="1"/>
    </xf>
    <xf numFmtId="0" fontId="31" fillId="0" borderId="5" xfId="0" applyFont="1" applyBorder="1" applyAlignment="1">
      <alignment horizontal="center" vertical="center" wrapText="1"/>
    </xf>
    <xf numFmtId="0" fontId="31" fillId="0" borderId="3" xfId="0" applyFont="1" applyBorder="1" applyAlignment="1">
      <alignment horizontal="center" vertical="center" wrapText="1"/>
    </xf>
    <xf numFmtId="0" fontId="31" fillId="0" borderId="4" xfId="0" applyFont="1" applyBorder="1" applyAlignment="1">
      <alignment horizontal="center" vertical="center" wrapText="1"/>
    </xf>
    <xf numFmtId="0" fontId="31" fillId="0" borderId="14" xfId="0" applyFont="1" applyBorder="1" applyAlignment="1">
      <alignment horizontal="center" vertical="center" wrapText="1"/>
    </xf>
    <xf numFmtId="0" fontId="31" fillId="0" borderId="7" xfId="0" applyFont="1" applyBorder="1" applyAlignment="1">
      <alignment horizontal="center" vertical="center" wrapText="1"/>
    </xf>
    <xf numFmtId="0" fontId="38" fillId="0" borderId="0" xfId="9" applyFont="1" applyAlignment="1">
      <alignment horizontal="center"/>
    </xf>
    <xf numFmtId="0" fontId="38" fillId="0" borderId="0" xfId="9" applyFont="1"/>
    <xf numFmtId="0" fontId="31" fillId="7" borderId="2" xfId="0" applyFont="1" applyFill="1" applyBorder="1" applyAlignment="1">
      <alignment horizontal="center" vertical="center"/>
    </xf>
  </cellXfs>
  <cellStyles count="10">
    <cellStyle name="Euro" xfId="1" xr:uid="{00000000-0005-0000-0000-000000000000}"/>
    <cellStyle name="Hipervínculo" xfId="2" builtinId="8"/>
    <cellStyle name="Normal" xfId="0" builtinId="0"/>
    <cellStyle name="Normal 2" xfId="3" xr:uid="{00000000-0005-0000-0000-000003000000}"/>
    <cellStyle name="Normal 3" xfId="4" xr:uid="{00000000-0005-0000-0000-000004000000}"/>
    <cellStyle name="Normal 4" xfId="5" xr:uid="{00000000-0005-0000-0000-000005000000}"/>
    <cellStyle name="Normal 4 2" xfId="6" xr:uid="{00000000-0005-0000-0000-000006000000}"/>
    <cellStyle name="Normal 5" xfId="7" xr:uid="{00000000-0005-0000-0000-000007000000}"/>
    <cellStyle name="Normal 6" xfId="8" xr:uid="{00000000-0005-0000-0000-000008000000}"/>
    <cellStyle name="Normal 7" xfId="9" xr:uid="{00000000-0005-0000-0000-000009000000}"/>
  </cellStyles>
  <dxfs count="10">
    <dxf>
      <font>
        <condense val="0"/>
        <extend val="0"/>
        <color indexed="63"/>
      </font>
    </dxf>
    <dxf>
      <font>
        <condense val="0"/>
        <extend val="0"/>
        <color indexed="9"/>
      </font>
    </dxf>
    <dxf>
      <font>
        <condense val="0"/>
        <extend val="0"/>
        <color indexed="63"/>
      </font>
    </dxf>
    <dxf>
      <font>
        <condense val="0"/>
        <extend val="0"/>
        <color indexed="9"/>
      </font>
    </dxf>
    <dxf>
      <fill>
        <patternFill>
          <bgColor rgb="FF00B050"/>
        </patternFill>
      </fill>
    </dxf>
    <dxf>
      <fill>
        <patternFill>
          <bgColor rgb="FFFFFF00"/>
        </patternFill>
      </fill>
    </dxf>
    <dxf>
      <fill>
        <patternFill>
          <bgColor rgb="FFFF0000"/>
        </patternFill>
      </fill>
    </dxf>
    <dxf>
      <fill>
        <patternFill>
          <bgColor theme="1"/>
        </patternFill>
      </fill>
    </dxf>
    <dxf>
      <fill>
        <patternFill>
          <bgColor rgb="FF00B050"/>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0000FF"/>
      <rgbColor rgb="00FF0000"/>
      <rgbColor rgb="00FFFF66"/>
      <rgbColor rgb="00FFFF00"/>
      <rgbColor rgb="00DFDFDF"/>
      <rgbColor rgb="00E6FF00"/>
      <rgbColor rgb="00FFFF99"/>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FFF"/>
      <rgbColor rgb="0069FFFF"/>
      <rgbColor rgb="00E0FFE0"/>
      <rgbColor rgb="00FFFF80"/>
      <rgbColor rgb="00A6CAF0"/>
      <rgbColor rgb="00DD9CB3"/>
      <rgbColor rgb="00B38FEE"/>
      <rgbColor rgb="00E3E3E3"/>
      <rgbColor rgb="002A6FF9"/>
      <rgbColor rgb="003FB8CD"/>
      <rgbColor rgb="00488436"/>
      <rgbColor rgb="00958C41"/>
      <rgbColor rgb="008E5E42"/>
      <rgbColor rgb="00A0627A"/>
      <rgbColor rgb="00624FAC"/>
      <rgbColor rgb="00969696"/>
      <rgbColor rgb="001D2FBE"/>
      <rgbColor rgb="00286676"/>
      <rgbColor rgb="00004500"/>
      <rgbColor rgb="00453E01"/>
      <rgbColor rgb="006A2813"/>
      <rgbColor rgb="0085396A"/>
      <rgbColor rgb="004A3285"/>
      <rgbColor rgb="00424242"/>
    </indexedColors>
    <mruColors>
      <color rgb="FF008000"/>
      <color rgb="FFFF4B4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openxmlformats.org/officeDocument/2006/relationships/customXml" Target="../customXml/item3.xml"/></Relationships>
</file>

<file path=xl/ctrlProps/ctrlProp1.xml><?xml version="1.0" encoding="utf-8"?>
<formControlPr xmlns="http://schemas.microsoft.com/office/spreadsheetml/2009/9/main" objectType="Drop" dropStyle="combo" dx="26" fmlaLink="$U$3" fmlaRange="'Inventario SQ'!$B$8:$B$271" noThreeD="1" sel="1" val="0"/>
</file>

<file path=xl/ctrlProps/ctrlProp2.xml><?xml version="1.0" encoding="utf-8"?>
<formControlPr xmlns="http://schemas.microsoft.com/office/spreadsheetml/2009/9/main" objectType="Drop" dropStyle="combo" dx="26" fmlaLink="$H$3" fmlaRange="'Inventario SQ'!$B$8:$B$271"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17.emf"/><Relationship Id="rId18" Type="http://schemas.openxmlformats.org/officeDocument/2006/relationships/image" Target="../media/image22.png"/><Relationship Id="rId26" Type="http://schemas.openxmlformats.org/officeDocument/2006/relationships/image" Target="../media/image30.png"/><Relationship Id="rId3" Type="http://schemas.openxmlformats.org/officeDocument/2006/relationships/image" Target="../media/image7.jpeg"/><Relationship Id="rId21" Type="http://schemas.openxmlformats.org/officeDocument/2006/relationships/image" Target="../media/image25.png"/><Relationship Id="rId7" Type="http://schemas.openxmlformats.org/officeDocument/2006/relationships/image" Target="../media/image11.png"/><Relationship Id="rId12" Type="http://schemas.openxmlformats.org/officeDocument/2006/relationships/image" Target="../media/image16.png"/><Relationship Id="rId17" Type="http://schemas.openxmlformats.org/officeDocument/2006/relationships/image" Target="../media/image21.png"/><Relationship Id="rId25" Type="http://schemas.openxmlformats.org/officeDocument/2006/relationships/image" Target="../media/image29.png"/><Relationship Id="rId2" Type="http://schemas.openxmlformats.org/officeDocument/2006/relationships/image" Target="../media/image6.jpeg"/><Relationship Id="rId16" Type="http://schemas.openxmlformats.org/officeDocument/2006/relationships/image" Target="../media/image20.png"/><Relationship Id="rId20" Type="http://schemas.openxmlformats.org/officeDocument/2006/relationships/image" Target="../media/image24.png"/><Relationship Id="rId1" Type="http://schemas.openxmlformats.org/officeDocument/2006/relationships/image" Target="../media/image5.jpeg"/><Relationship Id="rId6" Type="http://schemas.openxmlformats.org/officeDocument/2006/relationships/image" Target="../media/image10.png"/><Relationship Id="rId11" Type="http://schemas.openxmlformats.org/officeDocument/2006/relationships/image" Target="../media/image15.png"/><Relationship Id="rId24" Type="http://schemas.openxmlformats.org/officeDocument/2006/relationships/image" Target="../media/image28.png"/><Relationship Id="rId5" Type="http://schemas.openxmlformats.org/officeDocument/2006/relationships/image" Target="../media/image9.png"/><Relationship Id="rId15" Type="http://schemas.openxmlformats.org/officeDocument/2006/relationships/image" Target="../media/image19.emf"/><Relationship Id="rId23" Type="http://schemas.openxmlformats.org/officeDocument/2006/relationships/image" Target="../media/image27.png"/><Relationship Id="rId10" Type="http://schemas.openxmlformats.org/officeDocument/2006/relationships/image" Target="../media/image14.png"/><Relationship Id="rId19" Type="http://schemas.openxmlformats.org/officeDocument/2006/relationships/image" Target="../media/image23.png"/><Relationship Id="rId4" Type="http://schemas.openxmlformats.org/officeDocument/2006/relationships/image" Target="../media/image8.jpeg"/><Relationship Id="rId9" Type="http://schemas.openxmlformats.org/officeDocument/2006/relationships/image" Target="../media/image13.png"/><Relationship Id="rId14" Type="http://schemas.openxmlformats.org/officeDocument/2006/relationships/image" Target="../media/image18.png"/><Relationship Id="rId22" Type="http://schemas.openxmlformats.org/officeDocument/2006/relationships/image" Target="../media/image26.png"/></Relationships>
</file>

<file path=xl/drawings/_rels/drawing4.xml.rels><?xml version="1.0" encoding="UTF-8" standalone="yes"?>
<Relationships xmlns="http://schemas.openxmlformats.org/package/2006/relationships"><Relationship Id="rId8" Type="http://schemas.openxmlformats.org/officeDocument/2006/relationships/image" Target="../media/image38.emf"/><Relationship Id="rId3" Type="http://schemas.openxmlformats.org/officeDocument/2006/relationships/image" Target="../media/image33.jpeg"/><Relationship Id="rId7" Type="http://schemas.openxmlformats.org/officeDocument/2006/relationships/image" Target="../media/image37.emf"/><Relationship Id="rId2" Type="http://schemas.openxmlformats.org/officeDocument/2006/relationships/image" Target="../media/image32.jpeg"/><Relationship Id="rId1" Type="http://schemas.openxmlformats.org/officeDocument/2006/relationships/image" Target="../media/image31.emf"/><Relationship Id="rId6" Type="http://schemas.openxmlformats.org/officeDocument/2006/relationships/image" Target="../media/image36.emf"/><Relationship Id="rId5" Type="http://schemas.openxmlformats.org/officeDocument/2006/relationships/image" Target="../media/image35.jpeg"/><Relationship Id="rId4" Type="http://schemas.openxmlformats.org/officeDocument/2006/relationships/image" Target="../media/image34.jpeg"/><Relationship Id="rId9"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36.emf"/><Relationship Id="rId1" Type="http://schemas.openxmlformats.org/officeDocument/2006/relationships/image" Target="../media/image31.emf"/><Relationship Id="rId5" Type="http://schemas.openxmlformats.org/officeDocument/2006/relationships/image" Target="../media/image1.png"/><Relationship Id="rId4" Type="http://schemas.openxmlformats.org/officeDocument/2006/relationships/image" Target="../media/image38.emf"/></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1.emf"/><Relationship Id="rId2" Type="http://schemas.openxmlformats.org/officeDocument/2006/relationships/image" Target="../media/image40.emf"/><Relationship Id="rId1" Type="http://schemas.openxmlformats.org/officeDocument/2006/relationships/image" Target="../media/image39.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1.emf"/><Relationship Id="rId2" Type="http://schemas.openxmlformats.org/officeDocument/2006/relationships/image" Target="../media/image43.emf"/><Relationship Id="rId1" Type="http://schemas.openxmlformats.org/officeDocument/2006/relationships/image" Target="../media/image39.emf"/></Relationships>
</file>

<file path=xl/drawings/drawing1.xml><?xml version="1.0" encoding="utf-8"?>
<xdr:wsDr xmlns:xdr="http://schemas.openxmlformats.org/drawingml/2006/spreadsheetDrawing" xmlns:a="http://schemas.openxmlformats.org/drawingml/2006/main">
  <xdr:twoCellAnchor editAs="oneCell">
    <xdr:from>
      <xdr:col>0</xdr:col>
      <xdr:colOff>205741</xdr:colOff>
      <xdr:row>0</xdr:row>
      <xdr:rowOff>43196</xdr:rowOff>
    </xdr:from>
    <xdr:to>
      <xdr:col>0</xdr:col>
      <xdr:colOff>1158241</xdr:colOff>
      <xdr:row>2</xdr:row>
      <xdr:rowOff>199467</xdr:rowOff>
    </xdr:to>
    <xdr:pic>
      <xdr:nvPicPr>
        <xdr:cNvPr id="2" name="Imagen 1">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1"/>
        <a:srcRect t="2084"/>
        <a:stretch/>
      </xdr:blipFill>
      <xdr:spPr>
        <a:xfrm>
          <a:off x="205741" y="43196"/>
          <a:ext cx="952500" cy="5982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37</xdr:col>
      <xdr:colOff>0</xdr:colOff>
      <xdr:row>22</xdr:row>
      <xdr:rowOff>1222375</xdr:rowOff>
    </xdr:from>
    <xdr:to>
      <xdr:col>37</xdr:col>
      <xdr:colOff>0</xdr:colOff>
      <xdr:row>112</xdr:row>
      <xdr:rowOff>201616</xdr:rowOff>
    </xdr:to>
    <xdr:pic>
      <xdr:nvPicPr>
        <xdr:cNvPr id="4" name="2 Imagen">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795825" y="59858275"/>
          <a:ext cx="0" cy="353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37</xdr:col>
      <xdr:colOff>0</xdr:colOff>
      <xdr:row>22</xdr:row>
      <xdr:rowOff>1809750</xdr:rowOff>
    </xdr:from>
    <xdr:to>
      <xdr:col>37</xdr:col>
      <xdr:colOff>0</xdr:colOff>
      <xdr:row>98</xdr:row>
      <xdr:rowOff>97067</xdr:rowOff>
    </xdr:to>
    <xdr:pic>
      <xdr:nvPicPr>
        <xdr:cNvPr id="5" name="3 Imagen">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795825" y="60445650"/>
          <a:ext cx="0" cy="2936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37</xdr:col>
      <xdr:colOff>0</xdr:colOff>
      <xdr:row>22</xdr:row>
      <xdr:rowOff>2603500</xdr:rowOff>
    </xdr:from>
    <xdr:to>
      <xdr:col>37</xdr:col>
      <xdr:colOff>0</xdr:colOff>
      <xdr:row>81</xdr:row>
      <xdr:rowOff>535217</xdr:rowOff>
    </xdr:to>
    <xdr:pic>
      <xdr:nvPicPr>
        <xdr:cNvPr id="6" name="4 Imagen">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891075" y="61239400"/>
          <a:ext cx="0" cy="2149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37</xdr:col>
      <xdr:colOff>0</xdr:colOff>
      <xdr:row>22</xdr:row>
      <xdr:rowOff>1222375</xdr:rowOff>
    </xdr:from>
    <xdr:to>
      <xdr:col>37</xdr:col>
      <xdr:colOff>0</xdr:colOff>
      <xdr:row>112</xdr:row>
      <xdr:rowOff>201616</xdr:rowOff>
    </xdr:to>
    <xdr:pic>
      <xdr:nvPicPr>
        <xdr:cNvPr id="7" name="5 Imagen">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795825" y="59858275"/>
          <a:ext cx="0" cy="353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37</xdr:col>
      <xdr:colOff>0</xdr:colOff>
      <xdr:row>22</xdr:row>
      <xdr:rowOff>1809750</xdr:rowOff>
    </xdr:from>
    <xdr:to>
      <xdr:col>37</xdr:col>
      <xdr:colOff>0</xdr:colOff>
      <xdr:row>98</xdr:row>
      <xdr:rowOff>97067</xdr:rowOff>
    </xdr:to>
    <xdr:pic>
      <xdr:nvPicPr>
        <xdr:cNvPr id="8" name="6 Imagen">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795825" y="60445650"/>
          <a:ext cx="0" cy="2936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37</xdr:col>
      <xdr:colOff>0</xdr:colOff>
      <xdr:row>22</xdr:row>
      <xdr:rowOff>2603500</xdr:rowOff>
    </xdr:from>
    <xdr:to>
      <xdr:col>37</xdr:col>
      <xdr:colOff>0</xdr:colOff>
      <xdr:row>81</xdr:row>
      <xdr:rowOff>535217</xdr:rowOff>
    </xdr:to>
    <xdr:pic>
      <xdr:nvPicPr>
        <xdr:cNvPr id="9" name="7 Imagen">
          <a:extLst>
            <a:ext uri="{FF2B5EF4-FFF2-40B4-BE49-F238E27FC236}">
              <a16:creationId xmlns:a16="http://schemas.microsoft.com/office/drawing/2014/main" id="{00000000-0008-0000-0100-000009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891075" y="61239400"/>
          <a:ext cx="0" cy="2149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1082039</xdr:colOff>
      <xdr:row>0</xdr:row>
      <xdr:rowOff>91440</xdr:rowOff>
    </xdr:from>
    <xdr:to>
      <xdr:col>2</xdr:col>
      <xdr:colOff>216436</xdr:colOff>
      <xdr:row>2</xdr:row>
      <xdr:rowOff>228600</xdr:rowOff>
    </xdr:to>
    <xdr:pic>
      <xdr:nvPicPr>
        <xdr:cNvPr id="3" name="Imagen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4"/>
        <a:srcRect t="2084"/>
        <a:stretch/>
      </xdr:blipFill>
      <xdr:spPr>
        <a:xfrm>
          <a:off x="1432559" y="91440"/>
          <a:ext cx="1237517" cy="77724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116415</xdr:colOff>
      <xdr:row>2</xdr:row>
      <xdr:rowOff>68579</xdr:rowOff>
    </xdr:from>
    <xdr:to>
      <xdr:col>1</xdr:col>
      <xdr:colOff>836415</xdr:colOff>
      <xdr:row>2</xdr:row>
      <xdr:rowOff>788579</xdr:rowOff>
    </xdr:to>
    <xdr:pic>
      <xdr:nvPicPr>
        <xdr:cNvPr id="2" name="Imagen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941915" y="661246"/>
          <a:ext cx="720000" cy="720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97364</xdr:colOff>
      <xdr:row>3</xdr:row>
      <xdr:rowOff>69427</xdr:rowOff>
    </xdr:from>
    <xdr:to>
      <xdr:col>1</xdr:col>
      <xdr:colOff>816489</xdr:colOff>
      <xdr:row>3</xdr:row>
      <xdr:rowOff>789427</xdr:rowOff>
    </xdr:to>
    <xdr:pic>
      <xdr:nvPicPr>
        <xdr:cNvPr id="3" name="Imagen 2">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bwMode="auto">
        <a:xfrm>
          <a:off x="922864" y="1519344"/>
          <a:ext cx="719125" cy="720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107949</xdr:colOff>
      <xdr:row>4</xdr:row>
      <xdr:rowOff>62230</xdr:rowOff>
    </xdr:from>
    <xdr:to>
      <xdr:col>1</xdr:col>
      <xdr:colOff>827949</xdr:colOff>
      <xdr:row>4</xdr:row>
      <xdr:rowOff>782230</xdr:rowOff>
    </xdr:to>
    <xdr:pic>
      <xdr:nvPicPr>
        <xdr:cNvPr id="4" name="Imagen 3">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bwMode="auto">
        <a:xfrm>
          <a:off x="933449" y="2369397"/>
          <a:ext cx="720000" cy="720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101600</xdr:colOff>
      <xdr:row>5</xdr:row>
      <xdr:rowOff>45298</xdr:rowOff>
    </xdr:from>
    <xdr:to>
      <xdr:col>1</xdr:col>
      <xdr:colOff>821600</xdr:colOff>
      <xdr:row>5</xdr:row>
      <xdr:rowOff>767493</xdr:rowOff>
    </xdr:to>
    <xdr:pic>
      <xdr:nvPicPr>
        <xdr:cNvPr id="5" name="Imagen 4">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bwMode="auto">
        <a:xfrm>
          <a:off x="927100" y="3209715"/>
          <a:ext cx="720000" cy="7221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107951</xdr:colOff>
      <xdr:row>6</xdr:row>
      <xdr:rowOff>44450</xdr:rowOff>
    </xdr:from>
    <xdr:to>
      <xdr:col>1</xdr:col>
      <xdr:colOff>827951</xdr:colOff>
      <xdr:row>6</xdr:row>
      <xdr:rowOff>814582</xdr:rowOff>
    </xdr:to>
    <xdr:pic>
      <xdr:nvPicPr>
        <xdr:cNvPr id="6" name="Imagen 5">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933451" y="4066117"/>
          <a:ext cx="720000" cy="7701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107953</xdr:colOff>
      <xdr:row>7</xdr:row>
      <xdr:rowOff>8466</xdr:rowOff>
    </xdr:from>
    <xdr:to>
      <xdr:col>1</xdr:col>
      <xdr:colOff>827953</xdr:colOff>
      <xdr:row>7</xdr:row>
      <xdr:rowOff>822828</xdr:rowOff>
    </xdr:to>
    <xdr:pic>
      <xdr:nvPicPr>
        <xdr:cNvPr id="7" name="Imagen 6">
          <a:extLst>
            <a:ext uri="{FF2B5EF4-FFF2-40B4-BE49-F238E27FC236}">
              <a16:creationId xmlns:a16="http://schemas.microsoft.com/office/drawing/2014/main" id="{00000000-0008-0000-0500-000007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933453" y="4887383"/>
          <a:ext cx="720000" cy="8143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99482</xdr:colOff>
      <xdr:row>8</xdr:row>
      <xdr:rowOff>19051</xdr:rowOff>
    </xdr:from>
    <xdr:to>
      <xdr:col>1</xdr:col>
      <xdr:colOff>819482</xdr:colOff>
      <xdr:row>8</xdr:row>
      <xdr:rowOff>770402</xdr:rowOff>
    </xdr:to>
    <xdr:pic>
      <xdr:nvPicPr>
        <xdr:cNvPr id="8" name="Imagen 7">
          <a:extLst>
            <a:ext uri="{FF2B5EF4-FFF2-40B4-BE49-F238E27FC236}">
              <a16:creationId xmlns:a16="http://schemas.microsoft.com/office/drawing/2014/main" id="{00000000-0008-0000-0500-000008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924982" y="5755218"/>
          <a:ext cx="720000" cy="7513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110066</xdr:colOff>
      <xdr:row>9</xdr:row>
      <xdr:rowOff>12701</xdr:rowOff>
    </xdr:from>
    <xdr:to>
      <xdr:col>1</xdr:col>
      <xdr:colOff>830066</xdr:colOff>
      <xdr:row>9</xdr:row>
      <xdr:rowOff>803828</xdr:rowOff>
    </xdr:to>
    <xdr:pic>
      <xdr:nvPicPr>
        <xdr:cNvPr id="9" name="Imagen 8">
          <a:extLst>
            <a:ext uri="{FF2B5EF4-FFF2-40B4-BE49-F238E27FC236}">
              <a16:creationId xmlns:a16="http://schemas.microsoft.com/office/drawing/2014/main" id="{00000000-0008-0000-0500-000009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935566" y="6606118"/>
          <a:ext cx="720000" cy="7911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107949</xdr:colOff>
      <xdr:row>10</xdr:row>
      <xdr:rowOff>38101</xdr:rowOff>
    </xdr:from>
    <xdr:to>
      <xdr:col>1</xdr:col>
      <xdr:colOff>827949</xdr:colOff>
      <xdr:row>10</xdr:row>
      <xdr:rowOff>798630</xdr:rowOff>
    </xdr:to>
    <xdr:pic>
      <xdr:nvPicPr>
        <xdr:cNvPr id="10" name="Imagen 9">
          <a:extLst>
            <a:ext uri="{FF2B5EF4-FFF2-40B4-BE49-F238E27FC236}">
              <a16:creationId xmlns:a16="http://schemas.microsoft.com/office/drawing/2014/main" id="{00000000-0008-0000-0500-00000A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933449" y="7488768"/>
          <a:ext cx="720000" cy="760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80435</xdr:colOff>
      <xdr:row>11</xdr:row>
      <xdr:rowOff>61385</xdr:rowOff>
    </xdr:from>
    <xdr:to>
      <xdr:col>1</xdr:col>
      <xdr:colOff>827749</xdr:colOff>
      <xdr:row>11</xdr:row>
      <xdr:rowOff>781385</xdr:rowOff>
    </xdr:to>
    <xdr:pic>
      <xdr:nvPicPr>
        <xdr:cNvPr id="11" name="Imagen 10">
          <a:extLst>
            <a:ext uri="{FF2B5EF4-FFF2-40B4-BE49-F238E27FC236}">
              <a16:creationId xmlns:a16="http://schemas.microsoft.com/office/drawing/2014/main" id="{00000000-0008-0000-0500-00000B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905935" y="8369302"/>
          <a:ext cx="747314" cy="720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80433</xdr:colOff>
      <xdr:row>12</xdr:row>
      <xdr:rowOff>35984</xdr:rowOff>
    </xdr:from>
    <xdr:to>
      <xdr:col>1</xdr:col>
      <xdr:colOff>800433</xdr:colOff>
      <xdr:row>12</xdr:row>
      <xdr:rowOff>766977</xdr:rowOff>
    </xdr:to>
    <xdr:pic>
      <xdr:nvPicPr>
        <xdr:cNvPr id="12" name="Imagen 11">
          <a:extLst>
            <a:ext uri="{FF2B5EF4-FFF2-40B4-BE49-F238E27FC236}">
              <a16:creationId xmlns:a16="http://schemas.microsoft.com/office/drawing/2014/main" id="{00000000-0008-0000-0500-00000C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905933" y="9201151"/>
          <a:ext cx="720000" cy="73099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116421</xdr:colOff>
      <xdr:row>13</xdr:row>
      <xdr:rowOff>21167</xdr:rowOff>
    </xdr:from>
    <xdr:to>
      <xdr:col>1</xdr:col>
      <xdr:colOff>836421</xdr:colOff>
      <xdr:row>13</xdr:row>
      <xdr:rowOff>791085</xdr:rowOff>
    </xdr:to>
    <xdr:pic>
      <xdr:nvPicPr>
        <xdr:cNvPr id="13" name="Imagen 12">
          <a:extLst>
            <a:ext uri="{FF2B5EF4-FFF2-40B4-BE49-F238E27FC236}">
              <a16:creationId xmlns:a16="http://schemas.microsoft.com/office/drawing/2014/main" id="{00000000-0008-0000-0500-00000D000000}"/>
            </a:ext>
          </a:extLst>
        </xdr:cNvPr>
        <xdr:cNvPicPr>
          <a:picLocks noChangeAspect="1" noChangeArrowheads="1"/>
        </xdr:cNvPicPr>
      </xdr:nvPicPr>
      <xdr:blipFill rotWithShape="1">
        <a:blip xmlns:r="http://schemas.openxmlformats.org/officeDocument/2006/relationships" r:embed="rId12" cstate="print">
          <a:extLst>
            <a:ext uri="{28A0092B-C50C-407E-A947-70E740481C1C}">
              <a14:useLocalDpi xmlns:a14="http://schemas.microsoft.com/office/drawing/2010/main" val="0"/>
            </a:ext>
          </a:extLst>
        </a:blip>
        <a:srcRect t="7148"/>
        <a:stretch/>
      </xdr:blipFill>
      <xdr:spPr bwMode="auto">
        <a:xfrm>
          <a:off x="941921" y="10043584"/>
          <a:ext cx="720000" cy="7699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105836</xdr:colOff>
      <xdr:row>14</xdr:row>
      <xdr:rowOff>68784</xdr:rowOff>
    </xdr:from>
    <xdr:to>
      <xdr:col>1</xdr:col>
      <xdr:colOff>825836</xdr:colOff>
      <xdr:row>14</xdr:row>
      <xdr:rowOff>842110</xdr:rowOff>
    </xdr:to>
    <xdr:pic>
      <xdr:nvPicPr>
        <xdr:cNvPr id="14" name="Imagen 13">
          <a:extLst>
            <a:ext uri="{FF2B5EF4-FFF2-40B4-BE49-F238E27FC236}">
              <a16:creationId xmlns:a16="http://schemas.microsoft.com/office/drawing/2014/main" id="{00000000-0008-0000-0500-00000E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931336" y="10948451"/>
          <a:ext cx="720000" cy="7733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112192</xdr:colOff>
      <xdr:row>15</xdr:row>
      <xdr:rowOff>23282</xdr:rowOff>
    </xdr:from>
    <xdr:to>
      <xdr:col>1</xdr:col>
      <xdr:colOff>832192</xdr:colOff>
      <xdr:row>15</xdr:row>
      <xdr:rowOff>849734</xdr:rowOff>
    </xdr:to>
    <xdr:pic>
      <xdr:nvPicPr>
        <xdr:cNvPr id="15" name="Imagen 14">
          <a:extLst>
            <a:ext uri="{FF2B5EF4-FFF2-40B4-BE49-F238E27FC236}">
              <a16:creationId xmlns:a16="http://schemas.microsoft.com/office/drawing/2014/main" id="{00000000-0008-0000-0500-00000F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937692" y="11760199"/>
          <a:ext cx="720000" cy="8264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101601</xdr:colOff>
      <xdr:row>16</xdr:row>
      <xdr:rowOff>52917</xdr:rowOff>
    </xdr:from>
    <xdr:to>
      <xdr:col>1</xdr:col>
      <xdr:colOff>821601</xdr:colOff>
      <xdr:row>16</xdr:row>
      <xdr:rowOff>772917</xdr:rowOff>
    </xdr:to>
    <xdr:pic>
      <xdr:nvPicPr>
        <xdr:cNvPr id="16" name="Imagen 15">
          <a:extLst>
            <a:ext uri="{FF2B5EF4-FFF2-40B4-BE49-F238E27FC236}">
              <a16:creationId xmlns:a16="http://schemas.microsoft.com/office/drawing/2014/main" id="{00000000-0008-0000-0500-000010000000}"/>
            </a:ext>
          </a:extLst>
        </xdr:cNvPr>
        <xdr:cNvPicPr preferRelativeResize="0">
          <a:picLocks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927101" y="12647084"/>
          <a:ext cx="720000" cy="720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63500</xdr:colOff>
      <xdr:row>2</xdr:row>
      <xdr:rowOff>42334</xdr:rowOff>
    </xdr:from>
    <xdr:to>
      <xdr:col>6</xdr:col>
      <xdr:colOff>783500</xdr:colOff>
      <xdr:row>2</xdr:row>
      <xdr:rowOff>789578</xdr:rowOff>
    </xdr:to>
    <xdr:pic>
      <xdr:nvPicPr>
        <xdr:cNvPr id="18" name="Ilustra1">
          <a:extLst>
            <a:ext uri="{FF2B5EF4-FFF2-40B4-BE49-F238E27FC236}">
              <a16:creationId xmlns:a16="http://schemas.microsoft.com/office/drawing/2014/main" id="{00000000-0008-0000-0500-000012000000}"/>
            </a:ext>
          </a:extLst>
        </xdr:cNvPr>
        <xdr:cNvPicPr>
          <a:picLocks noChangeAspect="1"/>
        </xdr:cNvPicPr>
      </xdr:nvPicPr>
      <xdr:blipFill rotWithShape="1">
        <a:blip xmlns:r="http://schemas.openxmlformats.org/officeDocument/2006/relationships" r:embed="rId16" cstate="print"/>
        <a:srcRect t="7771" r="8063" b="6759"/>
        <a:stretch/>
      </xdr:blipFill>
      <xdr:spPr>
        <a:xfrm>
          <a:off x="5101167" y="635001"/>
          <a:ext cx="720000" cy="747244"/>
        </a:xfrm>
        <a:prstGeom prst="rect">
          <a:avLst/>
        </a:prstGeom>
      </xdr:spPr>
    </xdr:pic>
    <xdr:clientData/>
  </xdr:twoCellAnchor>
  <xdr:twoCellAnchor editAs="oneCell">
    <xdr:from>
      <xdr:col>6</xdr:col>
      <xdr:colOff>52918</xdr:colOff>
      <xdr:row>3</xdr:row>
      <xdr:rowOff>52916</xdr:rowOff>
    </xdr:from>
    <xdr:to>
      <xdr:col>6</xdr:col>
      <xdr:colOff>786795</xdr:colOff>
      <xdr:row>3</xdr:row>
      <xdr:rowOff>772916</xdr:rowOff>
    </xdr:to>
    <xdr:pic>
      <xdr:nvPicPr>
        <xdr:cNvPr id="20" name="Ilustra2">
          <a:extLst>
            <a:ext uri="{FF2B5EF4-FFF2-40B4-BE49-F238E27FC236}">
              <a16:creationId xmlns:a16="http://schemas.microsoft.com/office/drawing/2014/main" id="{00000000-0008-0000-0500-000014000000}"/>
            </a:ext>
          </a:extLst>
        </xdr:cNvPr>
        <xdr:cNvPicPr>
          <a:picLocks noChangeAspect="1"/>
        </xdr:cNvPicPr>
      </xdr:nvPicPr>
      <xdr:blipFill rotWithShape="1">
        <a:blip xmlns:r="http://schemas.openxmlformats.org/officeDocument/2006/relationships" r:embed="rId17" cstate="print"/>
        <a:srcRect l="6990" t="5253" r="6802" b="11753"/>
        <a:stretch/>
      </xdr:blipFill>
      <xdr:spPr>
        <a:xfrm>
          <a:off x="5090585" y="1502833"/>
          <a:ext cx="733877" cy="720000"/>
        </a:xfrm>
        <a:prstGeom prst="rect">
          <a:avLst/>
        </a:prstGeom>
      </xdr:spPr>
    </xdr:pic>
    <xdr:clientData/>
  </xdr:twoCellAnchor>
  <xdr:twoCellAnchor editAs="oneCell">
    <xdr:from>
      <xdr:col>6</xdr:col>
      <xdr:colOff>86959</xdr:colOff>
      <xdr:row>4</xdr:row>
      <xdr:rowOff>63500</xdr:rowOff>
    </xdr:from>
    <xdr:to>
      <xdr:col>6</xdr:col>
      <xdr:colOff>806959</xdr:colOff>
      <xdr:row>4</xdr:row>
      <xdr:rowOff>800780</xdr:rowOff>
    </xdr:to>
    <xdr:pic>
      <xdr:nvPicPr>
        <xdr:cNvPr id="21" name="Ilustra3">
          <a:extLst>
            <a:ext uri="{FF2B5EF4-FFF2-40B4-BE49-F238E27FC236}">
              <a16:creationId xmlns:a16="http://schemas.microsoft.com/office/drawing/2014/main" id="{00000000-0008-0000-0500-000015000000}"/>
            </a:ext>
          </a:extLst>
        </xdr:cNvPr>
        <xdr:cNvPicPr>
          <a:picLocks noChangeAspect="1"/>
        </xdr:cNvPicPr>
      </xdr:nvPicPr>
      <xdr:blipFill rotWithShape="1">
        <a:blip xmlns:r="http://schemas.openxmlformats.org/officeDocument/2006/relationships" r:embed="rId18" cstate="print"/>
        <a:srcRect l="6003" t="1189" r="3950" b="-1"/>
        <a:stretch/>
      </xdr:blipFill>
      <xdr:spPr>
        <a:xfrm>
          <a:off x="5124626" y="2370667"/>
          <a:ext cx="720000" cy="737280"/>
        </a:xfrm>
        <a:prstGeom prst="rect">
          <a:avLst/>
        </a:prstGeom>
      </xdr:spPr>
    </xdr:pic>
    <xdr:clientData/>
  </xdr:twoCellAnchor>
  <xdr:twoCellAnchor editAs="oneCell">
    <xdr:from>
      <xdr:col>6</xdr:col>
      <xdr:colOff>69414</xdr:colOff>
      <xdr:row>5</xdr:row>
      <xdr:rowOff>40218</xdr:rowOff>
    </xdr:from>
    <xdr:to>
      <xdr:col>6</xdr:col>
      <xdr:colOff>789414</xdr:colOff>
      <xdr:row>5</xdr:row>
      <xdr:rowOff>774670</xdr:rowOff>
    </xdr:to>
    <xdr:pic>
      <xdr:nvPicPr>
        <xdr:cNvPr id="22" name="Ilustra4">
          <a:extLst>
            <a:ext uri="{FF2B5EF4-FFF2-40B4-BE49-F238E27FC236}">
              <a16:creationId xmlns:a16="http://schemas.microsoft.com/office/drawing/2014/main" id="{00000000-0008-0000-0500-000016000000}"/>
            </a:ext>
          </a:extLst>
        </xdr:cNvPr>
        <xdr:cNvPicPr>
          <a:picLocks noChangeAspect="1"/>
        </xdr:cNvPicPr>
      </xdr:nvPicPr>
      <xdr:blipFill rotWithShape="1">
        <a:blip xmlns:r="http://schemas.openxmlformats.org/officeDocument/2006/relationships" r:embed="rId19" cstate="print"/>
        <a:srcRect l="3639" t="3331" r="2959" b="5648"/>
        <a:stretch/>
      </xdr:blipFill>
      <xdr:spPr>
        <a:xfrm>
          <a:off x="5107081" y="3204635"/>
          <a:ext cx="720000" cy="734452"/>
        </a:xfrm>
        <a:prstGeom prst="rect">
          <a:avLst/>
        </a:prstGeom>
      </xdr:spPr>
    </xdr:pic>
    <xdr:clientData/>
  </xdr:twoCellAnchor>
  <xdr:twoCellAnchor editAs="oneCell">
    <xdr:from>
      <xdr:col>6</xdr:col>
      <xdr:colOff>80701</xdr:colOff>
      <xdr:row>6</xdr:row>
      <xdr:rowOff>49743</xdr:rowOff>
    </xdr:from>
    <xdr:to>
      <xdr:col>6</xdr:col>
      <xdr:colOff>831608</xdr:colOff>
      <xdr:row>6</xdr:row>
      <xdr:rowOff>769743</xdr:rowOff>
    </xdr:to>
    <xdr:pic>
      <xdr:nvPicPr>
        <xdr:cNvPr id="23" name="Ilustra5">
          <a:extLst>
            <a:ext uri="{FF2B5EF4-FFF2-40B4-BE49-F238E27FC236}">
              <a16:creationId xmlns:a16="http://schemas.microsoft.com/office/drawing/2014/main" id="{00000000-0008-0000-0500-000017000000}"/>
            </a:ext>
          </a:extLst>
        </xdr:cNvPr>
        <xdr:cNvPicPr>
          <a:picLocks noChangeAspect="1"/>
        </xdr:cNvPicPr>
      </xdr:nvPicPr>
      <xdr:blipFill rotWithShape="1">
        <a:blip xmlns:r="http://schemas.openxmlformats.org/officeDocument/2006/relationships" r:embed="rId20" cstate="print"/>
        <a:srcRect t="3362" b="5870"/>
        <a:stretch/>
      </xdr:blipFill>
      <xdr:spPr>
        <a:xfrm>
          <a:off x="5118368" y="4071410"/>
          <a:ext cx="750907" cy="720000"/>
        </a:xfrm>
        <a:prstGeom prst="rect">
          <a:avLst/>
        </a:prstGeom>
      </xdr:spPr>
    </xdr:pic>
    <xdr:clientData/>
  </xdr:twoCellAnchor>
  <xdr:twoCellAnchor editAs="oneCell">
    <xdr:from>
      <xdr:col>10</xdr:col>
      <xdr:colOff>74083</xdr:colOff>
      <xdr:row>2</xdr:row>
      <xdr:rowOff>64030</xdr:rowOff>
    </xdr:from>
    <xdr:to>
      <xdr:col>10</xdr:col>
      <xdr:colOff>794083</xdr:colOff>
      <xdr:row>2</xdr:row>
      <xdr:rowOff>831214</xdr:rowOff>
    </xdr:to>
    <xdr:pic>
      <xdr:nvPicPr>
        <xdr:cNvPr id="24" name="Ilustra7">
          <a:extLst>
            <a:ext uri="{FF2B5EF4-FFF2-40B4-BE49-F238E27FC236}">
              <a16:creationId xmlns:a16="http://schemas.microsoft.com/office/drawing/2014/main" id="{00000000-0008-0000-0500-000018000000}"/>
            </a:ext>
          </a:extLst>
        </xdr:cNvPr>
        <xdr:cNvPicPr>
          <a:picLocks noChangeAspect="1"/>
        </xdr:cNvPicPr>
      </xdr:nvPicPr>
      <xdr:blipFill rotWithShape="1">
        <a:blip xmlns:r="http://schemas.openxmlformats.org/officeDocument/2006/relationships" r:embed="rId21" cstate="print"/>
        <a:srcRect t="8881"/>
        <a:stretch/>
      </xdr:blipFill>
      <xdr:spPr>
        <a:xfrm>
          <a:off x="5111750" y="4942947"/>
          <a:ext cx="720000" cy="767184"/>
        </a:xfrm>
        <a:prstGeom prst="rect">
          <a:avLst/>
        </a:prstGeom>
      </xdr:spPr>
    </xdr:pic>
    <xdr:clientData/>
  </xdr:twoCellAnchor>
  <xdr:twoCellAnchor editAs="oneCell">
    <xdr:from>
      <xdr:col>10</xdr:col>
      <xdr:colOff>62709</xdr:colOff>
      <xdr:row>3</xdr:row>
      <xdr:rowOff>19582</xdr:rowOff>
    </xdr:from>
    <xdr:to>
      <xdr:col>10</xdr:col>
      <xdr:colOff>782709</xdr:colOff>
      <xdr:row>3</xdr:row>
      <xdr:rowOff>821930</xdr:rowOff>
    </xdr:to>
    <xdr:pic>
      <xdr:nvPicPr>
        <xdr:cNvPr id="25" name="Ilustra8">
          <a:extLst>
            <a:ext uri="{FF2B5EF4-FFF2-40B4-BE49-F238E27FC236}">
              <a16:creationId xmlns:a16="http://schemas.microsoft.com/office/drawing/2014/main" id="{00000000-0008-0000-0500-000019000000}"/>
            </a:ext>
          </a:extLst>
        </xdr:cNvPr>
        <xdr:cNvPicPr>
          <a:picLocks noChangeAspect="1"/>
        </xdr:cNvPicPr>
      </xdr:nvPicPr>
      <xdr:blipFill rotWithShape="1">
        <a:blip xmlns:r="http://schemas.openxmlformats.org/officeDocument/2006/relationships" r:embed="rId22" cstate="print"/>
        <a:srcRect r="6294" b="4400"/>
        <a:stretch/>
      </xdr:blipFill>
      <xdr:spPr>
        <a:xfrm>
          <a:off x="5100376" y="5755749"/>
          <a:ext cx="720000" cy="802348"/>
        </a:xfrm>
        <a:prstGeom prst="rect">
          <a:avLst/>
        </a:prstGeom>
      </xdr:spPr>
    </xdr:pic>
    <xdr:clientData/>
  </xdr:twoCellAnchor>
  <xdr:twoCellAnchor editAs="oneCell">
    <xdr:from>
      <xdr:col>10</xdr:col>
      <xdr:colOff>80486</xdr:colOff>
      <xdr:row>4</xdr:row>
      <xdr:rowOff>38630</xdr:rowOff>
    </xdr:from>
    <xdr:to>
      <xdr:col>10</xdr:col>
      <xdr:colOff>800486</xdr:colOff>
      <xdr:row>4</xdr:row>
      <xdr:rowOff>817956</xdr:rowOff>
    </xdr:to>
    <xdr:pic>
      <xdr:nvPicPr>
        <xdr:cNvPr id="26" name="Ilustra9">
          <a:extLst>
            <a:ext uri="{FF2B5EF4-FFF2-40B4-BE49-F238E27FC236}">
              <a16:creationId xmlns:a16="http://schemas.microsoft.com/office/drawing/2014/main" id="{00000000-0008-0000-0500-00001A000000}"/>
            </a:ext>
          </a:extLst>
        </xdr:cNvPr>
        <xdr:cNvPicPr>
          <a:picLocks noChangeAspect="1"/>
        </xdr:cNvPicPr>
      </xdr:nvPicPr>
      <xdr:blipFill rotWithShape="1">
        <a:blip xmlns:r="http://schemas.openxmlformats.org/officeDocument/2006/relationships" r:embed="rId23" cstate="print"/>
        <a:srcRect t="4852"/>
        <a:stretch/>
      </xdr:blipFill>
      <xdr:spPr>
        <a:xfrm>
          <a:off x="5118153" y="6632047"/>
          <a:ext cx="720000" cy="779326"/>
        </a:xfrm>
        <a:prstGeom prst="rect">
          <a:avLst/>
        </a:prstGeom>
      </xdr:spPr>
    </xdr:pic>
    <xdr:clientData/>
  </xdr:twoCellAnchor>
  <xdr:twoCellAnchor editAs="oneCell">
    <xdr:from>
      <xdr:col>10</xdr:col>
      <xdr:colOff>71756</xdr:colOff>
      <xdr:row>5</xdr:row>
      <xdr:rowOff>59795</xdr:rowOff>
    </xdr:from>
    <xdr:to>
      <xdr:col>10</xdr:col>
      <xdr:colOff>791756</xdr:colOff>
      <xdr:row>5</xdr:row>
      <xdr:rowOff>824795</xdr:rowOff>
    </xdr:to>
    <xdr:pic>
      <xdr:nvPicPr>
        <xdr:cNvPr id="27" name="Ilustra10">
          <a:extLst>
            <a:ext uri="{FF2B5EF4-FFF2-40B4-BE49-F238E27FC236}">
              <a16:creationId xmlns:a16="http://schemas.microsoft.com/office/drawing/2014/main" id="{00000000-0008-0000-0500-00001B000000}"/>
            </a:ext>
          </a:extLst>
        </xdr:cNvPr>
        <xdr:cNvPicPr>
          <a:picLocks noChangeAspect="1"/>
        </xdr:cNvPicPr>
      </xdr:nvPicPr>
      <xdr:blipFill rotWithShape="1">
        <a:blip xmlns:r="http://schemas.openxmlformats.org/officeDocument/2006/relationships" r:embed="rId24" cstate="print"/>
        <a:srcRect l="6003" t="-1251" r="5150" b="1114"/>
        <a:stretch/>
      </xdr:blipFill>
      <xdr:spPr>
        <a:xfrm>
          <a:off x="5109423" y="7510462"/>
          <a:ext cx="720000" cy="765000"/>
        </a:xfrm>
        <a:prstGeom prst="rect">
          <a:avLst/>
        </a:prstGeom>
      </xdr:spPr>
    </xdr:pic>
    <xdr:clientData/>
  </xdr:twoCellAnchor>
  <xdr:twoCellAnchor editAs="oneCell">
    <xdr:from>
      <xdr:col>14</xdr:col>
      <xdr:colOff>77841</xdr:colOff>
      <xdr:row>2</xdr:row>
      <xdr:rowOff>57679</xdr:rowOff>
    </xdr:from>
    <xdr:to>
      <xdr:col>14</xdr:col>
      <xdr:colOff>797841</xdr:colOff>
      <xdr:row>2</xdr:row>
      <xdr:rowOff>844699</xdr:rowOff>
    </xdr:to>
    <xdr:pic>
      <xdr:nvPicPr>
        <xdr:cNvPr id="28" name="Ilustra12">
          <a:extLst>
            <a:ext uri="{FF2B5EF4-FFF2-40B4-BE49-F238E27FC236}">
              <a16:creationId xmlns:a16="http://schemas.microsoft.com/office/drawing/2014/main" id="{00000000-0008-0000-0500-00001C000000}"/>
            </a:ext>
          </a:extLst>
        </xdr:cNvPr>
        <xdr:cNvPicPr>
          <a:picLocks noChangeAspect="1"/>
        </xdr:cNvPicPr>
      </xdr:nvPicPr>
      <xdr:blipFill rotWithShape="1">
        <a:blip xmlns:r="http://schemas.openxmlformats.org/officeDocument/2006/relationships" r:embed="rId25" cstate="print"/>
        <a:srcRect t="2332"/>
        <a:stretch/>
      </xdr:blipFill>
      <xdr:spPr>
        <a:xfrm>
          <a:off x="5115508" y="8365596"/>
          <a:ext cx="720000" cy="787020"/>
        </a:xfrm>
        <a:prstGeom prst="rect">
          <a:avLst/>
        </a:prstGeom>
      </xdr:spPr>
    </xdr:pic>
    <xdr:clientData/>
  </xdr:twoCellAnchor>
  <xdr:twoCellAnchor editAs="oneCell">
    <xdr:from>
      <xdr:col>6</xdr:col>
      <xdr:colOff>63500</xdr:colOff>
      <xdr:row>7</xdr:row>
      <xdr:rowOff>52916</xdr:rowOff>
    </xdr:from>
    <xdr:to>
      <xdr:col>6</xdr:col>
      <xdr:colOff>787400</xdr:colOff>
      <xdr:row>7</xdr:row>
      <xdr:rowOff>807508</xdr:rowOff>
    </xdr:to>
    <xdr:pic>
      <xdr:nvPicPr>
        <xdr:cNvPr id="37" name="Ilustra6">
          <a:extLst>
            <a:ext uri="{FF2B5EF4-FFF2-40B4-BE49-F238E27FC236}">
              <a16:creationId xmlns:a16="http://schemas.microsoft.com/office/drawing/2014/main" id="{00000000-0008-0000-0500-000025000000}"/>
            </a:ext>
          </a:extLst>
        </xdr:cNvPr>
        <xdr:cNvPicPr>
          <a:picLocks noChangeAspect="1" noChangeArrowheads="1"/>
        </xdr:cNvPicPr>
      </xdr:nvPicPr>
      <xdr:blipFill>
        <a:blip xmlns:r="http://schemas.openxmlformats.org/officeDocument/2006/relationships" r:embed="rId26" cstate="print">
          <a:extLst>
            <a:ext uri="{28A0092B-C50C-407E-A947-70E740481C1C}">
              <a14:useLocalDpi xmlns:a14="http://schemas.microsoft.com/office/drawing/2010/main" val="0"/>
            </a:ext>
          </a:extLst>
        </a:blip>
        <a:srcRect/>
        <a:stretch>
          <a:fillRect/>
        </a:stretch>
      </xdr:blipFill>
      <xdr:spPr bwMode="auto">
        <a:xfrm>
          <a:off x="5101167" y="4931833"/>
          <a:ext cx="723900" cy="754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63500</xdr:colOff>
      <xdr:row>6</xdr:row>
      <xdr:rowOff>63500</xdr:rowOff>
    </xdr:from>
    <xdr:to>
      <xdr:col>10</xdr:col>
      <xdr:colOff>787400</xdr:colOff>
      <xdr:row>6</xdr:row>
      <xdr:rowOff>818092</xdr:rowOff>
    </xdr:to>
    <xdr:pic>
      <xdr:nvPicPr>
        <xdr:cNvPr id="38" name="Ilustra11">
          <a:extLst>
            <a:ext uri="{FF2B5EF4-FFF2-40B4-BE49-F238E27FC236}">
              <a16:creationId xmlns:a16="http://schemas.microsoft.com/office/drawing/2014/main" id="{00000000-0008-0000-0500-000026000000}"/>
            </a:ext>
          </a:extLst>
        </xdr:cNvPr>
        <xdr:cNvPicPr>
          <a:picLocks noChangeAspect="1" noChangeArrowheads="1"/>
        </xdr:cNvPicPr>
      </xdr:nvPicPr>
      <xdr:blipFill>
        <a:blip xmlns:r="http://schemas.openxmlformats.org/officeDocument/2006/relationships" r:embed="rId26" cstate="print">
          <a:extLst>
            <a:ext uri="{28A0092B-C50C-407E-A947-70E740481C1C}">
              <a14:useLocalDpi xmlns:a14="http://schemas.microsoft.com/office/drawing/2010/main" val="0"/>
            </a:ext>
          </a:extLst>
        </a:blip>
        <a:srcRect/>
        <a:stretch>
          <a:fillRect/>
        </a:stretch>
      </xdr:blipFill>
      <xdr:spPr bwMode="auto">
        <a:xfrm>
          <a:off x="5101167" y="9228667"/>
          <a:ext cx="723900" cy="754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74083</xdr:colOff>
      <xdr:row>3</xdr:row>
      <xdr:rowOff>42333</xdr:rowOff>
    </xdr:from>
    <xdr:to>
      <xdr:col>14</xdr:col>
      <xdr:colOff>797983</xdr:colOff>
      <xdr:row>3</xdr:row>
      <xdr:rowOff>796925</xdr:rowOff>
    </xdr:to>
    <xdr:pic>
      <xdr:nvPicPr>
        <xdr:cNvPr id="39" name="Imagen 38">
          <a:extLst>
            <a:ext uri="{FF2B5EF4-FFF2-40B4-BE49-F238E27FC236}">
              <a16:creationId xmlns:a16="http://schemas.microsoft.com/office/drawing/2014/main" id="{00000000-0008-0000-0500-000027000000}"/>
            </a:ext>
          </a:extLst>
        </xdr:cNvPr>
        <xdr:cNvPicPr>
          <a:picLocks noChangeAspect="1" noChangeArrowheads="1"/>
        </xdr:cNvPicPr>
      </xdr:nvPicPr>
      <xdr:blipFill>
        <a:blip xmlns:r="http://schemas.openxmlformats.org/officeDocument/2006/relationships" r:embed="rId26" cstate="print">
          <a:extLst>
            <a:ext uri="{28A0092B-C50C-407E-A947-70E740481C1C}">
              <a14:useLocalDpi xmlns:a14="http://schemas.microsoft.com/office/drawing/2010/main" val="0"/>
            </a:ext>
          </a:extLst>
        </a:blip>
        <a:srcRect/>
        <a:stretch>
          <a:fillRect/>
        </a:stretch>
      </xdr:blipFill>
      <xdr:spPr bwMode="auto">
        <a:xfrm>
          <a:off x="5111750" y="10922000"/>
          <a:ext cx="723900" cy="754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95251</xdr:colOff>
      <xdr:row>17</xdr:row>
      <xdr:rowOff>42334</xdr:rowOff>
    </xdr:from>
    <xdr:to>
      <xdr:col>1</xdr:col>
      <xdr:colOff>819151</xdr:colOff>
      <xdr:row>17</xdr:row>
      <xdr:rowOff>796926</xdr:rowOff>
    </xdr:to>
    <xdr:pic>
      <xdr:nvPicPr>
        <xdr:cNvPr id="40" name="Imagen 16">
          <a:extLst>
            <a:ext uri="{FF2B5EF4-FFF2-40B4-BE49-F238E27FC236}">
              <a16:creationId xmlns:a16="http://schemas.microsoft.com/office/drawing/2014/main" id="{00000000-0008-0000-0500-000028000000}"/>
            </a:ext>
          </a:extLst>
        </xdr:cNvPr>
        <xdr:cNvPicPr>
          <a:picLocks noChangeAspect="1" noChangeArrowheads="1"/>
        </xdr:cNvPicPr>
      </xdr:nvPicPr>
      <xdr:blipFill>
        <a:blip xmlns:r="http://schemas.openxmlformats.org/officeDocument/2006/relationships" r:embed="rId26" cstate="print">
          <a:extLst>
            <a:ext uri="{28A0092B-C50C-407E-A947-70E740481C1C}">
              <a14:useLocalDpi xmlns:a14="http://schemas.microsoft.com/office/drawing/2010/main" val="0"/>
            </a:ext>
          </a:extLst>
        </a:blip>
        <a:srcRect/>
        <a:stretch>
          <a:fillRect/>
        </a:stretch>
      </xdr:blipFill>
      <xdr:spPr bwMode="auto">
        <a:xfrm>
          <a:off x="2614084" y="13493751"/>
          <a:ext cx="723900" cy="754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63499</xdr:colOff>
      <xdr:row>4</xdr:row>
      <xdr:rowOff>42333</xdr:rowOff>
    </xdr:from>
    <xdr:to>
      <xdr:col>14</xdr:col>
      <xdr:colOff>783499</xdr:colOff>
      <xdr:row>4</xdr:row>
      <xdr:rowOff>821659</xdr:rowOff>
    </xdr:to>
    <xdr:pic>
      <xdr:nvPicPr>
        <xdr:cNvPr id="31" name="Ilustra9">
          <a:extLst>
            <a:ext uri="{FF2B5EF4-FFF2-40B4-BE49-F238E27FC236}">
              <a16:creationId xmlns:a16="http://schemas.microsoft.com/office/drawing/2014/main" id="{00000000-0008-0000-0500-00001F000000}"/>
            </a:ext>
          </a:extLst>
        </xdr:cNvPr>
        <xdr:cNvPicPr>
          <a:picLocks noChangeAspect="1"/>
        </xdr:cNvPicPr>
      </xdr:nvPicPr>
      <xdr:blipFill rotWithShape="1">
        <a:blip xmlns:r="http://schemas.openxmlformats.org/officeDocument/2006/relationships" r:embed="rId23" cstate="print"/>
        <a:srcRect t="4852"/>
        <a:stretch/>
      </xdr:blipFill>
      <xdr:spPr>
        <a:xfrm>
          <a:off x="11556999" y="2783416"/>
          <a:ext cx="720000" cy="77932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281940</xdr:colOff>
      <xdr:row>0</xdr:row>
      <xdr:rowOff>0</xdr:rowOff>
    </xdr:from>
    <xdr:to>
      <xdr:col>13</xdr:col>
      <xdr:colOff>22860</xdr:colOff>
      <xdr:row>0</xdr:row>
      <xdr:rowOff>0</xdr:rowOff>
    </xdr:to>
    <xdr:pic>
      <xdr:nvPicPr>
        <xdr:cNvPr id="2" name="Picture 31">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29940" y="0"/>
          <a:ext cx="96964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228600</xdr:colOff>
      <xdr:row>14</xdr:row>
      <xdr:rowOff>45243</xdr:rowOff>
    </xdr:from>
    <xdr:to>
      <xdr:col>11</xdr:col>
      <xdr:colOff>386138</xdr:colOff>
      <xdr:row>14</xdr:row>
      <xdr:rowOff>500538</xdr:rowOff>
    </xdr:to>
    <xdr:pic>
      <xdr:nvPicPr>
        <xdr:cNvPr id="3" name="Imagen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cstate="print"/>
        <a:stretch>
          <a:fillRect/>
        </a:stretch>
      </xdr:blipFill>
      <xdr:spPr>
        <a:xfrm>
          <a:off x="3669506" y="4200524"/>
          <a:ext cx="467101" cy="455295"/>
        </a:xfrm>
        <a:prstGeom prst="rect">
          <a:avLst/>
        </a:prstGeom>
      </xdr:spPr>
    </xdr:pic>
    <xdr:clientData/>
  </xdr:twoCellAnchor>
  <xdr:twoCellAnchor editAs="oneCell">
    <xdr:from>
      <xdr:col>8</xdr:col>
      <xdr:colOff>9526</xdr:colOff>
      <xdr:row>14</xdr:row>
      <xdr:rowOff>30957</xdr:rowOff>
    </xdr:from>
    <xdr:to>
      <xdr:col>10</xdr:col>
      <xdr:colOff>6534</xdr:colOff>
      <xdr:row>14</xdr:row>
      <xdr:rowOff>511969</xdr:rowOff>
    </xdr:to>
    <xdr:pic>
      <xdr:nvPicPr>
        <xdr:cNvPr id="4" name="Imagen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3" cstate="print"/>
        <a:stretch>
          <a:fillRect/>
        </a:stretch>
      </xdr:blipFill>
      <xdr:spPr>
        <a:xfrm>
          <a:off x="2890839" y="4186238"/>
          <a:ext cx="556601" cy="481012"/>
        </a:xfrm>
        <a:prstGeom prst="rect">
          <a:avLst/>
        </a:prstGeom>
      </xdr:spPr>
    </xdr:pic>
    <xdr:clientData/>
  </xdr:twoCellAnchor>
  <xdr:twoCellAnchor editAs="oneCell">
    <xdr:from>
      <xdr:col>6</xdr:col>
      <xdr:colOff>83343</xdr:colOff>
      <xdr:row>14</xdr:row>
      <xdr:rowOff>3334</xdr:rowOff>
    </xdr:from>
    <xdr:to>
      <xdr:col>7</xdr:col>
      <xdr:colOff>350042</xdr:colOff>
      <xdr:row>14</xdr:row>
      <xdr:rowOff>489109</xdr:rowOff>
    </xdr:to>
    <xdr:pic>
      <xdr:nvPicPr>
        <xdr:cNvPr id="5" name="Imagen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4" cstate="print"/>
        <a:stretch>
          <a:fillRect/>
        </a:stretch>
      </xdr:blipFill>
      <xdr:spPr>
        <a:xfrm>
          <a:off x="2333624" y="4158615"/>
          <a:ext cx="516731" cy="485775"/>
        </a:xfrm>
        <a:prstGeom prst="rect">
          <a:avLst/>
        </a:prstGeom>
      </xdr:spPr>
    </xdr:pic>
    <xdr:clientData/>
  </xdr:twoCellAnchor>
  <xdr:twoCellAnchor editAs="oneCell">
    <xdr:from>
      <xdr:col>12</xdr:col>
      <xdr:colOff>71438</xdr:colOff>
      <xdr:row>14</xdr:row>
      <xdr:rowOff>30072</xdr:rowOff>
    </xdr:from>
    <xdr:to>
      <xdr:col>13</xdr:col>
      <xdr:colOff>252413</xdr:colOff>
      <xdr:row>14</xdr:row>
      <xdr:rowOff>473393</xdr:rowOff>
    </xdr:to>
    <xdr:pic>
      <xdr:nvPicPr>
        <xdr:cNvPr id="6" name="Imagen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5" cstate="print"/>
        <a:stretch>
          <a:fillRect/>
        </a:stretch>
      </xdr:blipFill>
      <xdr:spPr>
        <a:xfrm>
          <a:off x="4131469" y="4030572"/>
          <a:ext cx="490538" cy="44332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22</xdr:col>
          <xdr:colOff>523875</xdr:colOff>
          <xdr:row>1</xdr:row>
          <xdr:rowOff>66675</xdr:rowOff>
        </xdr:from>
        <xdr:to>
          <xdr:col>24</xdr:col>
          <xdr:colOff>533400</xdr:colOff>
          <xdr:row>1</xdr:row>
          <xdr:rowOff>228600</xdr:rowOff>
        </xdr:to>
        <xdr:sp macro="" textlink="">
          <xdr:nvSpPr>
            <xdr:cNvPr id="39937" name="Drop Down 1" hidden="1">
              <a:extLst>
                <a:ext uri="{63B3BB69-23CF-44E3-9099-C40C66FF867C}">
                  <a14:compatExt spid="_x0000_s39937"/>
                </a:ext>
                <a:ext uri="{FF2B5EF4-FFF2-40B4-BE49-F238E27FC236}">
                  <a16:creationId xmlns:a16="http://schemas.microsoft.com/office/drawing/2014/main" id="{00000000-0008-0000-07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5</xdr:row>
          <xdr:rowOff>219075</xdr:rowOff>
        </xdr:from>
        <xdr:to>
          <xdr:col>2</xdr:col>
          <xdr:colOff>228600</xdr:colOff>
          <xdr:row>7</xdr:row>
          <xdr:rowOff>323850</xdr:rowOff>
        </xdr:to>
        <xdr:pic>
          <xdr:nvPicPr>
            <xdr:cNvPr id="8" name="Picture 8">
              <a:extLst>
                <a:ext uri="{FF2B5EF4-FFF2-40B4-BE49-F238E27FC236}">
                  <a16:creationId xmlns:a16="http://schemas.microsoft.com/office/drawing/2014/main" id="{00000000-0008-0000-0700-000008000000}"/>
                </a:ext>
              </a:extLst>
            </xdr:cNvPr>
            <xdr:cNvPicPr>
              <a:picLocks noChangeAspect="1" noChangeArrowheads="1"/>
              <a:extLst>
                <a:ext uri="{84589F7E-364E-4C9E-8A38-B11213B215E9}">
                  <a14:cameraTool cellRange="Ilustración1" spid="_x0000_s40483"/>
                </a:ext>
              </a:extLst>
            </xdr:cNvPicPr>
          </xdr:nvPicPr>
          <xdr:blipFill>
            <a:blip xmlns:r="http://schemas.openxmlformats.org/officeDocument/2006/relationships" r:embed="rId6"/>
            <a:srcRect/>
            <a:stretch>
              <a:fillRect/>
            </a:stretch>
          </xdr:blipFill>
          <xdr:spPr bwMode="auto">
            <a:xfrm>
              <a:off x="123825" y="1171575"/>
              <a:ext cx="866775" cy="86677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335756</xdr:colOff>
          <xdr:row>8</xdr:row>
          <xdr:rowOff>78582</xdr:rowOff>
        </xdr:from>
        <xdr:to>
          <xdr:col>4</xdr:col>
          <xdr:colOff>333375</xdr:colOff>
          <xdr:row>10</xdr:row>
          <xdr:rowOff>373857</xdr:rowOff>
        </xdr:to>
        <xdr:pic>
          <xdr:nvPicPr>
            <xdr:cNvPr id="9" name="Picture 6">
              <a:extLst>
                <a:ext uri="{FF2B5EF4-FFF2-40B4-BE49-F238E27FC236}">
                  <a16:creationId xmlns:a16="http://schemas.microsoft.com/office/drawing/2014/main" id="{00000000-0008-0000-0700-000009000000}"/>
                </a:ext>
              </a:extLst>
            </xdr:cNvPr>
            <xdr:cNvPicPr>
              <a:picLocks noChangeAspect="1" noChangeArrowheads="1"/>
              <a:extLst>
                <a:ext uri="{84589F7E-364E-4C9E-8A38-B11213B215E9}">
                  <a14:cameraTool cellRange="Ilustración4" spid="_x0000_s40484"/>
                </a:ext>
              </a:extLst>
            </xdr:cNvPicPr>
          </xdr:nvPicPr>
          <xdr:blipFill>
            <a:blip xmlns:r="http://schemas.openxmlformats.org/officeDocument/2006/relationships" r:embed="rId7"/>
            <a:srcRect/>
            <a:stretch>
              <a:fillRect/>
            </a:stretch>
          </xdr:blipFill>
          <xdr:spPr bwMode="auto">
            <a:xfrm>
              <a:off x="1097756" y="2174082"/>
              <a:ext cx="866775" cy="86677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11</xdr:row>
          <xdr:rowOff>171450</xdr:rowOff>
        </xdr:from>
        <xdr:to>
          <xdr:col>3</xdr:col>
          <xdr:colOff>226219</xdr:colOff>
          <xdr:row>14</xdr:row>
          <xdr:rowOff>147637</xdr:rowOff>
        </xdr:to>
        <xdr:pic>
          <xdr:nvPicPr>
            <xdr:cNvPr id="10" name="Picture 7">
              <a:extLst>
                <a:ext uri="{FF2B5EF4-FFF2-40B4-BE49-F238E27FC236}">
                  <a16:creationId xmlns:a16="http://schemas.microsoft.com/office/drawing/2014/main" id="{00000000-0008-0000-0700-00000A000000}"/>
                </a:ext>
              </a:extLst>
            </xdr:cNvPr>
            <xdr:cNvPicPr>
              <a:picLocks noChangeAspect="1" noChangeArrowheads="1"/>
              <a:extLst>
                <a:ext uri="{84589F7E-364E-4C9E-8A38-B11213B215E9}">
                  <a14:cameraTool cellRange="Ilustración5" spid="_x0000_s40485"/>
                </a:ext>
              </a:extLst>
            </xdr:cNvPicPr>
          </xdr:nvPicPr>
          <xdr:blipFill>
            <a:blip xmlns:r="http://schemas.openxmlformats.org/officeDocument/2006/relationships" r:embed="rId7"/>
            <a:srcRect/>
            <a:stretch>
              <a:fillRect/>
            </a:stretch>
          </xdr:blipFill>
          <xdr:spPr bwMode="auto">
            <a:xfrm>
              <a:off x="609600" y="3219450"/>
              <a:ext cx="866775" cy="86677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76201</xdr:colOff>
          <xdr:row>8</xdr:row>
          <xdr:rowOff>85725</xdr:rowOff>
        </xdr:from>
        <xdr:to>
          <xdr:col>2</xdr:col>
          <xdr:colOff>214313</xdr:colOff>
          <xdr:row>10</xdr:row>
          <xdr:rowOff>371475</xdr:rowOff>
        </xdr:to>
        <xdr:pic>
          <xdr:nvPicPr>
            <xdr:cNvPr id="11" name="Imagen 15">
              <a:extLst>
                <a:ext uri="{FF2B5EF4-FFF2-40B4-BE49-F238E27FC236}">
                  <a16:creationId xmlns:a16="http://schemas.microsoft.com/office/drawing/2014/main" id="{00000000-0008-0000-0700-00000B000000}"/>
                </a:ext>
              </a:extLst>
            </xdr:cNvPr>
            <xdr:cNvPicPr>
              <a:picLocks noChangeAspect="1" noChangeArrowheads="1"/>
              <a:extLst>
                <a:ext uri="{84589F7E-364E-4C9E-8A38-B11213B215E9}">
                  <a14:cameraTool cellRange="Ilustración3" spid="_x0000_s40486"/>
                </a:ext>
              </a:extLst>
            </xdr:cNvPicPr>
          </xdr:nvPicPr>
          <xdr:blipFill>
            <a:blip xmlns:r="http://schemas.openxmlformats.org/officeDocument/2006/relationships" r:embed="rId8"/>
            <a:srcRect/>
            <a:stretch>
              <a:fillRect/>
            </a:stretch>
          </xdr:blipFill>
          <xdr:spPr bwMode="auto">
            <a:xfrm>
              <a:off x="76201" y="2181225"/>
              <a:ext cx="900112" cy="8572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5</xdr:row>
          <xdr:rowOff>238125</xdr:rowOff>
        </xdr:from>
        <xdr:to>
          <xdr:col>4</xdr:col>
          <xdr:colOff>340519</xdr:colOff>
          <xdr:row>7</xdr:row>
          <xdr:rowOff>342900</xdr:rowOff>
        </xdr:to>
        <xdr:pic>
          <xdr:nvPicPr>
            <xdr:cNvPr id="12" name="Picture 5">
              <a:extLst>
                <a:ext uri="{FF2B5EF4-FFF2-40B4-BE49-F238E27FC236}">
                  <a16:creationId xmlns:a16="http://schemas.microsoft.com/office/drawing/2014/main" id="{00000000-0008-0000-0700-00000C000000}"/>
                </a:ext>
              </a:extLst>
            </xdr:cNvPr>
            <xdr:cNvPicPr>
              <a:picLocks noChangeAspect="1" noChangeArrowheads="1"/>
              <a:extLst>
                <a:ext uri="{84589F7E-364E-4C9E-8A38-B11213B215E9}">
                  <a14:cameraTool cellRange="Ilustración2" spid="_x0000_s40487"/>
                </a:ext>
              </a:extLst>
            </xdr:cNvPicPr>
          </xdr:nvPicPr>
          <xdr:blipFill>
            <a:blip xmlns:r="http://schemas.openxmlformats.org/officeDocument/2006/relationships" r:embed="rId6"/>
            <a:srcRect/>
            <a:stretch>
              <a:fillRect/>
            </a:stretch>
          </xdr:blipFill>
          <xdr:spPr bwMode="auto">
            <a:xfrm>
              <a:off x="1104900" y="1190625"/>
              <a:ext cx="866775" cy="86677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0</xdr:col>
      <xdr:colOff>152400</xdr:colOff>
      <xdr:row>0</xdr:row>
      <xdr:rowOff>28575</xdr:rowOff>
    </xdr:from>
    <xdr:to>
      <xdr:col>2</xdr:col>
      <xdr:colOff>209550</xdr:colOff>
      <xdr:row>1</xdr:row>
      <xdr:rowOff>269268</xdr:rowOff>
    </xdr:to>
    <xdr:pic>
      <xdr:nvPicPr>
        <xdr:cNvPr id="13" name="Imagen 12">
          <a:extLst>
            <a:ext uri="{FF2B5EF4-FFF2-40B4-BE49-F238E27FC236}">
              <a16:creationId xmlns:a16="http://schemas.microsoft.com/office/drawing/2014/main" id="{00000000-0008-0000-0700-00000D000000}"/>
            </a:ext>
          </a:extLst>
        </xdr:cNvPr>
        <xdr:cNvPicPr>
          <a:picLocks noChangeAspect="1"/>
        </xdr:cNvPicPr>
      </xdr:nvPicPr>
      <xdr:blipFill rotWithShape="1">
        <a:blip xmlns:r="http://schemas.openxmlformats.org/officeDocument/2006/relationships" r:embed="rId9"/>
        <a:srcRect t="2084"/>
        <a:stretch/>
      </xdr:blipFill>
      <xdr:spPr>
        <a:xfrm>
          <a:off x="152400" y="28575"/>
          <a:ext cx="838200" cy="52644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0</xdr:colOff>
      <xdr:row>0</xdr:row>
      <xdr:rowOff>0</xdr:rowOff>
    </xdr:to>
    <xdr:pic>
      <xdr:nvPicPr>
        <xdr:cNvPr id="2" name="Picture 3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34715" y="0"/>
          <a:ext cx="119824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absolute">
        <xdr:from>
          <xdr:col>12</xdr:col>
          <xdr:colOff>638175</xdr:colOff>
          <xdr:row>1</xdr:row>
          <xdr:rowOff>76200</xdr:rowOff>
        </xdr:from>
        <xdr:to>
          <xdr:col>14</xdr:col>
          <xdr:colOff>647700</xdr:colOff>
          <xdr:row>1</xdr:row>
          <xdr:rowOff>228600</xdr:rowOff>
        </xdr:to>
        <xdr:sp macro="" textlink="">
          <xdr:nvSpPr>
            <xdr:cNvPr id="60417" name="Drop Down 1" hidden="1">
              <a:extLst>
                <a:ext uri="{63B3BB69-23CF-44E3-9099-C40C66FF867C}">
                  <a14:compatExt spid="_x0000_s60417"/>
                </a:ext>
                <a:ext uri="{FF2B5EF4-FFF2-40B4-BE49-F238E27FC236}">
                  <a16:creationId xmlns:a16="http://schemas.microsoft.com/office/drawing/2014/main" id="{00000000-0008-0000-0800-000001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6</xdr:row>
          <xdr:rowOff>219075</xdr:rowOff>
        </xdr:from>
        <xdr:to>
          <xdr:col>2</xdr:col>
          <xdr:colOff>228600</xdr:colOff>
          <xdr:row>8</xdr:row>
          <xdr:rowOff>323850</xdr:rowOff>
        </xdr:to>
        <xdr:pic>
          <xdr:nvPicPr>
            <xdr:cNvPr id="7" name="Picture 8">
              <a:extLst>
                <a:ext uri="{FF2B5EF4-FFF2-40B4-BE49-F238E27FC236}">
                  <a16:creationId xmlns:a16="http://schemas.microsoft.com/office/drawing/2014/main" id="{00000000-0008-0000-0800-000007000000}"/>
                </a:ext>
              </a:extLst>
            </xdr:cNvPr>
            <xdr:cNvPicPr>
              <a:picLocks noChangeAspect="1" noChangeArrowheads="1"/>
              <a:extLst>
                <a:ext uri="{84589F7E-364E-4C9E-8A38-B11213B215E9}">
                  <a14:cameraTool cellRange="Ilustración1" spid="_x0000_s60908"/>
                </a:ext>
              </a:extLst>
            </xdr:cNvPicPr>
          </xdr:nvPicPr>
          <xdr:blipFill>
            <a:blip xmlns:r="http://schemas.openxmlformats.org/officeDocument/2006/relationships" r:embed="rId2"/>
            <a:srcRect/>
            <a:stretch>
              <a:fillRect/>
            </a:stretch>
          </xdr:blipFill>
          <xdr:spPr bwMode="auto">
            <a:xfrm>
              <a:off x="123825" y="1438275"/>
              <a:ext cx="866775" cy="86677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9</xdr:row>
          <xdr:rowOff>66676</xdr:rowOff>
        </xdr:from>
        <xdr:to>
          <xdr:col>5</xdr:col>
          <xdr:colOff>285750</xdr:colOff>
          <xdr:row>11</xdr:row>
          <xdr:rowOff>361951</xdr:rowOff>
        </xdr:to>
        <xdr:pic>
          <xdr:nvPicPr>
            <xdr:cNvPr id="8" name="Picture 6">
              <a:extLst>
                <a:ext uri="{FF2B5EF4-FFF2-40B4-BE49-F238E27FC236}">
                  <a16:creationId xmlns:a16="http://schemas.microsoft.com/office/drawing/2014/main" id="{00000000-0008-0000-0800-000008000000}"/>
                </a:ext>
              </a:extLst>
            </xdr:cNvPr>
            <xdr:cNvPicPr>
              <a:picLocks noChangeAspect="1" noChangeArrowheads="1"/>
              <a:extLst>
                <a:ext uri="{84589F7E-364E-4C9E-8A38-B11213B215E9}">
                  <a14:cameraTool cellRange="Ilustración4" spid="_x0000_s60909"/>
                </a:ext>
              </a:extLst>
            </xdr:cNvPicPr>
          </xdr:nvPicPr>
          <xdr:blipFill>
            <a:blip xmlns:r="http://schemas.openxmlformats.org/officeDocument/2006/relationships" r:embed="rId3"/>
            <a:srcRect/>
            <a:stretch>
              <a:fillRect/>
            </a:stretch>
          </xdr:blipFill>
          <xdr:spPr bwMode="auto">
            <a:xfrm>
              <a:off x="1431131" y="2721770"/>
              <a:ext cx="866775" cy="86677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776288</xdr:colOff>
          <xdr:row>7</xdr:row>
          <xdr:rowOff>350044</xdr:rowOff>
        </xdr:from>
        <xdr:to>
          <xdr:col>5</xdr:col>
          <xdr:colOff>1643063</xdr:colOff>
          <xdr:row>10</xdr:row>
          <xdr:rowOff>254794</xdr:rowOff>
        </xdr:to>
        <xdr:pic>
          <xdr:nvPicPr>
            <xdr:cNvPr id="9" name="Picture 7">
              <a:extLst>
                <a:ext uri="{FF2B5EF4-FFF2-40B4-BE49-F238E27FC236}">
                  <a16:creationId xmlns:a16="http://schemas.microsoft.com/office/drawing/2014/main" id="{00000000-0008-0000-0800-000009000000}"/>
                </a:ext>
              </a:extLst>
            </xdr:cNvPr>
            <xdr:cNvPicPr>
              <a:picLocks noChangeAspect="1" noChangeArrowheads="1"/>
              <a:extLst>
                <a:ext uri="{84589F7E-364E-4C9E-8A38-B11213B215E9}">
                  <a14:cameraTool cellRange="Ilustración5" spid="_x0000_s60910"/>
                </a:ext>
              </a:extLst>
            </xdr:cNvPicPr>
          </xdr:nvPicPr>
          <xdr:blipFill>
            <a:blip xmlns:r="http://schemas.openxmlformats.org/officeDocument/2006/relationships" r:embed="rId3"/>
            <a:srcRect/>
            <a:stretch>
              <a:fillRect/>
            </a:stretch>
          </xdr:blipFill>
          <xdr:spPr bwMode="auto">
            <a:xfrm>
              <a:off x="2788444" y="2695575"/>
              <a:ext cx="866775" cy="8572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76201</xdr:colOff>
          <xdr:row>9</xdr:row>
          <xdr:rowOff>85725</xdr:rowOff>
        </xdr:from>
        <xdr:to>
          <xdr:col>2</xdr:col>
          <xdr:colOff>375558</xdr:colOff>
          <xdr:row>11</xdr:row>
          <xdr:rowOff>371475</xdr:rowOff>
        </xdr:to>
        <xdr:pic>
          <xdr:nvPicPr>
            <xdr:cNvPr id="10" name="Imagen 15">
              <a:extLst>
                <a:ext uri="{FF2B5EF4-FFF2-40B4-BE49-F238E27FC236}">
                  <a16:creationId xmlns:a16="http://schemas.microsoft.com/office/drawing/2014/main" id="{00000000-0008-0000-0800-00000A000000}"/>
                </a:ext>
              </a:extLst>
            </xdr:cNvPr>
            <xdr:cNvPicPr>
              <a:picLocks noChangeAspect="1" noChangeArrowheads="1"/>
              <a:extLst>
                <a:ext uri="{84589F7E-364E-4C9E-8A38-B11213B215E9}">
                  <a14:cameraTool cellRange="Ilustración3" spid="_x0000_s60911"/>
                </a:ext>
              </a:extLst>
            </xdr:cNvPicPr>
          </xdr:nvPicPr>
          <xdr:blipFill>
            <a:blip xmlns:r="http://schemas.openxmlformats.org/officeDocument/2006/relationships" r:embed="rId4"/>
            <a:srcRect/>
            <a:stretch>
              <a:fillRect/>
            </a:stretch>
          </xdr:blipFill>
          <xdr:spPr bwMode="auto">
            <a:xfrm>
              <a:off x="76201" y="2443163"/>
              <a:ext cx="1061357" cy="8572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188119</xdr:colOff>
          <xdr:row>6</xdr:row>
          <xdr:rowOff>202406</xdr:rowOff>
        </xdr:from>
        <xdr:to>
          <xdr:col>5</xdr:col>
          <xdr:colOff>292894</xdr:colOff>
          <xdr:row>8</xdr:row>
          <xdr:rowOff>307181</xdr:rowOff>
        </xdr:to>
        <xdr:pic>
          <xdr:nvPicPr>
            <xdr:cNvPr id="11" name="Picture 5">
              <a:extLst>
                <a:ext uri="{FF2B5EF4-FFF2-40B4-BE49-F238E27FC236}">
                  <a16:creationId xmlns:a16="http://schemas.microsoft.com/office/drawing/2014/main" id="{00000000-0008-0000-0800-00000B000000}"/>
                </a:ext>
              </a:extLst>
            </xdr:cNvPr>
            <xdr:cNvPicPr>
              <a:picLocks noChangeAspect="1" noChangeArrowheads="1"/>
              <a:extLst>
                <a:ext uri="{84589F7E-364E-4C9E-8A38-B11213B215E9}">
                  <a14:cameraTool cellRange="Ilustración2" spid="_x0000_s60912"/>
                </a:ext>
              </a:extLst>
            </xdr:cNvPicPr>
          </xdr:nvPicPr>
          <xdr:blipFill>
            <a:blip xmlns:r="http://schemas.openxmlformats.org/officeDocument/2006/relationships" r:embed="rId2"/>
            <a:srcRect/>
            <a:stretch>
              <a:fillRect/>
            </a:stretch>
          </xdr:blipFill>
          <xdr:spPr bwMode="auto">
            <a:xfrm>
              <a:off x="1438275" y="1714500"/>
              <a:ext cx="866775" cy="86677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0</xdr:col>
      <xdr:colOff>180975</xdr:colOff>
      <xdr:row>0</xdr:row>
      <xdr:rowOff>28575</xdr:rowOff>
    </xdr:from>
    <xdr:to>
      <xdr:col>2</xdr:col>
      <xdr:colOff>219075</xdr:colOff>
      <xdr:row>1</xdr:row>
      <xdr:rowOff>257304</xdr:rowOff>
    </xdr:to>
    <xdr:pic>
      <xdr:nvPicPr>
        <xdr:cNvPr id="4" name="Imagen 3">
          <a:extLst>
            <a:ext uri="{FF2B5EF4-FFF2-40B4-BE49-F238E27FC236}">
              <a16:creationId xmlns:a16="http://schemas.microsoft.com/office/drawing/2014/main" id="{00000000-0008-0000-0800-000004000000}"/>
            </a:ext>
          </a:extLst>
        </xdr:cNvPr>
        <xdr:cNvPicPr>
          <a:picLocks noChangeAspect="1"/>
        </xdr:cNvPicPr>
      </xdr:nvPicPr>
      <xdr:blipFill rotWithShape="1">
        <a:blip xmlns:r="http://schemas.openxmlformats.org/officeDocument/2006/relationships" r:embed="rId5"/>
        <a:srcRect t="2084"/>
        <a:stretch/>
      </xdr:blipFill>
      <xdr:spPr>
        <a:xfrm>
          <a:off x="180975" y="28575"/>
          <a:ext cx="819150" cy="51447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83821</xdr:rowOff>
    </xdr:from>
    <xdr:to>
      <xdr:col>0</xdr:col>
      <xdr:colOff>701040</xdr:colOff>
      <xdr:row>2</xdr:row>
      <xdr:rowOff>105019</xdr:rowOff>
    </xdr:to>
    <xdr:pic>
      <xdr:nvPicPr>
        <xdr:cNvPr id="2" name="Imagen 1">
          <a:extLst>
            <a:ext uri="{FF2B5EF4-FFF2-40B4-BE49-F238E27FC236}">
              <a16:creationId xmlns:a16="http://schemas.microsoft.com/office/drawing/2014/main" id="{00000000-0008-0000-0900-000002000000}"/>
            </a:ext>
          </a:extLst>
        </xdr:cNvPr>
        <xdr:cNvPicPr>
          <a:picLocks noChangeAspect="1"/>
        </xdr:cNvPicPr>
      </xdr:nvPicPr>
      <xdr:blipFill rotWithShape="1">
        <a:blip xmlns:r="http://schemas.openxmlformats.org/officeDocument/2006/relationships" r:embed="rId1"/>
        <a:srcRect t="2084"/>
        <a:stretch/>
      </xdr:blipFill>
      <xdr:spPr>
        <a:xfrm>
          <a:off x="0" y="83821"/>
          <a:ext cx="701040" cy="44029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30480</xdr:colOff>
      <xdr:row>0</xdr:row>
      <xdr:rowOff>53341</xdr:rowOff>
    </xdr:from>
    <xdr:to>
      <xdr:col>0</xdr:col>
      <xdr:colOff>723900</xdr:colOff>
      <xdr:row>2</xdr:row>
      <xdr:rowOff>138333</xdr:rowOff>
    </xdr:to>
    <xdr:pic>
      <xdr:nvPicPr>
        <xdr:cNvPr id="2" name="Imagen 1">
          <a:extLst>
            <a:ext uri="{FF2B5EF4-FFF2-40B4-BE49-F238E27FC236}">
              <a16:creationId xmlns:a16="http://schemas.microsoft.com/office/drawing/2014/main" id="{00000000-0008-0000-0A00-000002000000}"/>
            </a:ext>
          </a:extLst>
        </xdr:cNvPr>
        <xdr:cNvPicPr>
          <a:picLocks noChangeAspect="1"/>
        </xdr:cNvPicPr>
      </xdr:nvPicPr>
      <xdr:blipFill rotWithShape="1">
        <a:blip xmlns:r="http://schemas.openxmlformats.org/officeDocument/2006/relationships" r:embed="rId1"/>
        <a:srcRect t="2084"/>
        <a:stretch/>
      </xdr:blipFill>
      <xdr:spPr>
        <a:xfrm>
          <a:off x="30480" y="53341"/>
          <a:ext cx="693420" cy="43551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24</xdr:col>
      <xdr:colOff>95250</xdr:colOff>
      <xdr:row>19</xdr:row>
      <xdr:rowOff>1222375</xdr:rowOff>
    </xdr:from>
    <xdr:to>
      <xdr:col>24</xdr:col>
      <xdr:colOff>95250</xdr:colOff>
      <xdr:row>53</xdr:row>
      <xdr:rowOff>260350</xdr:rowOff>
    </xdr:to>
    <xdr:pic>
      <xdr:nvPicPr>
        <xdr:cNvPr id="2" name="2 Imagen">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205150" y="26625550"/>
          <a:ext cx="0" cy="35756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24</xdr:col>
      <xdr:colOff>95250</xdr:colOff>
      <xdr:row>19</xdr:row>
      <xdr:rowOff>1809750</xdr:rowOff>
    </xdr:from>
    <xdr:to>
      <xdr:col>24</xdr:col>
      <xdr:colOff>95250</xdr:colOff>
      <xdr:row>46</xdr:row>
      <xdr:rowOff>327025</xdr:rowOff>
    </xdr:to>
    <xdr:pic>
      <xdr:nvPicPr>
        <xdr:cNvPr id="3" name="3 Imagen">
          <a:extLst>
            <a:ext uri="{FF2B5EF4-FFF2-40B4-BE49-F238E27FC236}">
              <a16:creationId xmlns:a16="http://schemas.microsoft.com/office/drawing/2014/main" id="{00000000-0008-0000-0B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205150" y="27212925"/>
          <a:ext cx="0" cy="30264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24</xdr:col>
      <xdr:colOff>190500</xdr:colOff>
      <xdr:row>19</xdr:row>
      <xdr:rowOff>2603500</xdr:rowOff>
    </xdr:from>
    <xdr:to>
      <xdr:col>24</xdr:col>
      <xdr:colOff>190500</xdr:colOff>
      <xdr:row>42</xdr:row>
      <xdr:rowOff>190500</xdr:rowOff>
    </xdr:to>
    <xdr:pic>
      <xdr:nvPicPr>
        <xdr:cNvPr id="4" name="4 Imagen">
          <a:extLst>
            <a:ext uri="{FF2B5EF4-FFF2-40B4-BE49-F238E27FC236}">
              <a16:creationId xmlns:a16="http://schemas.microsoft.com/office/drawing/2014/main" id="{00000000-0008-0000-0B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300400" y="28006675"/>
          <a:ext cx="0" cy="23847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24</xdr:col>
      <xdr:colOff>95250</xdr:colOff>
      <xdr:row>19</xdr:row>
      <xdr:rowOff>1222375</xdr:rowOff>
    </xdr:from>
    <xdr:to>
      <xdr:col>24</xdr:col>
      <xdr:colOff>95250</xdr:colOff>
      <xdr:row>53</xdr:row>
      <xdr:rowOff>260350</xdr:rowOff>
    </xdr:to>
    <xdr:pic>
      <xdr:nvPicPr>
        <xdr:cNvPr id="5" name="5 Imagen">
          <a:extLst>
            <a:ext uri="{FF2B5EF4-FFF2-40B4-BE49-F238E27FC236}">
              <a16:creationId xmlns:a16="http://schemas.microsoft.com/office/drawing/2014/main" id="{00000000-0008-0000-0B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205150" y="26625550"/>
          <a:ext cx="0" cy="35756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24</xdr:col>
      <xdr:colOff>95250</xdr:colOff>
      <xdr:row>19</xdr:row>
      <xdr:rowOff>1809750</xdr:rowOff>
    </xdr:from>
    <xdr:to>
      <xdr:col>24</xdr:col>
      <xdr:colOff>95250</xdr:colOff>
      <xdr:row>46</xdr:row>
      <xdr:rowOff>327025</xdr:rowOff>
    </xdr:to>
    <xdr:pic>
      <xdr:nvPicPr>
        <xdr:cNvPr id="6" name="6 Imagen">
          <a:extLst>
            <a:ext uri="{FF2B5EF4-FFF2-40B4-BE49-F238E27FC236}">
              <a16:creationId xmlns:a16="http://schemas.microsoft.com/office/drawing/2014/main" id="{00000000-0008-0000-0B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205150" y="27212925"/>
          <a:ext cx="0" cy="30264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24</xdr:col>
      <xdr:colOff>190500</xdr:colOff>
      <xdr:row>19</xdr:row>
      <xdr:rowOff>2603500</xdr:rowOff>
    </xdr:from>
    <xdr:to>
      <xdr:col>24</xdr:col>
      <xdr:colOff>190500</xdr:colOff>
      <xdr:row>42</xdr:row>
      <xdr:rowOff>190500</xdr:rowOff>
    </xdr:to>
    <xdr:pic>
      <xdr:nvPicPr>
        <xdr:cNvPr id="7" name="7 Imagen">
          <a:extLst>
            <a:ext uri="{FF2B5EF4-FFF2-40B4-BE49-F238E27FC236}">
              <a16:creationId xmlns:a16="http://schemas.microsoft.com/office/drawing/2014/main" id="{00000000-0008-0000-0B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300400" y="28006675"/>
          <a:ext cx="0" cy="23847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GAYSO\EYD\Inventario%20de%20SQ%20E&amp;D.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GAYSO/AppData/Local/Temp/Programa%20de%20Sustancias%20quimicas-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ventario SQ"/>
      <sheetName val="Matriz compatibilidad"/>
      <sheetName val="Tarjetas de emergencia"/>
      <sheetName val="Inventario de SQ"/>
      <sheetName val="Hoja1"/>
    </sheetNames>
    <sheetDataSet>
      <sheetData sheetId="0"/>
      <sheetData sheetId="1"/>
      <sheetData sheetId="2"/>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nu"/>
      <sheetName val="Tarjetas de emergencia"/>
      <sheetName val="Inventario de quimicos"/>
      <sheetName val="Caracterizacion"/>
      <sheetName val="Etiquetas"/>
      <sheetName val="Indicadores"/>
      <sheetName val="Capacitación"/>
      <sheetName val="Inspeccion"/>
      <sheetName val="T EMERGENCIA"/>
      <sheetName val="FORMATO TE"/>
      <sheetName val="Hoja2"/>
      <sheetName val="Hoja1"/>
    </sheetNames>
    <sheetDataSet>
      <sheetData sheetId="0"/>
      <sheetData sheetId="1"/>
      <sheetData sheetId="2"/>
      <sheetData sheetId="3"/>
      <sheetData sheetId="4"/>
      <sheetData sheetId="5"/>
      <sheetData sheetId="6"/>
      <sheetData sheetId="7"/>
      <sheetData sheetId="8">
        <row r="10">
          <cell r="A10" t="str">
            <v>LIMPIADOR DE VIDRIOS Y COCINA SIMPLE GREEN® SUPERFICIES MÚLTIPLES</v>
          </cell>
        </row>
        <row r="11">
          <cell r="A11" t="str">
            <v>UE41-K0000-H</v>
          </cell>
        </row>
        <row r="12">
          <cell r="A12" t="str">
            <v>ENDURECEDOR PARA TRANSPARENTE NASÒN</v>
          </cell>
        </row>
        <row r="13">
          <cell r="A13" t="str">
            <v>ON´AN ON.</v>
          </cell>
        </row>
        <row r="14">
          <cell r="A14" t="str">
            <v>ROJO PERLADO SIMEX- MR-107-08-1548A</v>
          </cell>
        </row>
        <row r="15">
          <cell r="A15" t="str">
            <v>SHELL MORLINA</v>
          </cell>
        </row>
        <row r="16">
          <cell r="A16" t="str">
            <v xml:space="preserve">49019 BARNIZ M TOP 502 </v>
          </cell>
        </row>
        <row r="17">
          <cell r="A17" t="str">
            <v>164 Disolvente  POLIURETANO</v>
          </cell>
        </row>
        <row r="18">
          <cell r="A18" t="str">
            <v>49056 UE41-K0000-H</v>
          </cell>
        </row>
        <row r="19">
          <cell r="A19" t="str">
            <v>VARSOL (DISUELTO 4)</v>
          </cell>
        </row>
        <row r="20">
          <cell r="A20" t="str">
            <v xml:space="preserve">49283 M BASE 045 A </v>
          </cell>
        </row>
        <row r="21">
          <cell r="A21" t="str">
            <v>CLORURO METÍLICO</v>
          </cell>
        </row>
        <row r="22">
          <cell r="A22" t="str">
            <v xml:space="preserve">BC-513 ENTONADOR METALIZADO OCRE. </v>
          </cell>
        </row>
        <row r="23">
          <cell r="A23" t="str">
            <v>DUPONT COVER  ALE 49293- Transparente Nason Klarity</v>
          </cell>
        </row>
        <row r="24">
          <cell r="A24" t="str">
            <v>ALCOHOL GEL</v>
          </cell>
        </row>
        <row r="25">
          <cell r="A25" t="str">
            <v>IW 204 TRANSPARENTE NASON IW 205</v>
          </cell>
        </row>
        <row r="26">
          <cell r="A26" t="str">
            <v>RFS-123</v>
          </cell>
        </row>
        <row r="27">
          <cell r="A27" t="str">
            <v>Thinner.</v>
          </cell>
        </row>
        <row r="28">
          <cell r="A28" t="str">
            <v>DAMP MOP</v>
          </cell>
        </row>
        <row r="29">
          <cell r="A29" t="str">
            <v>DORADO SIMEX-BC-513 Entonador metalizado ocre.</v>
          </cell>
        </row>
        <row r="30">
          <cell r="A30" t="str">
            <v>30002 ABS GP-35 NAT TERLURAN</v>
          </cell>
        </row>
        <row r="31">
          <cell r="A31" t="str">
            <v>35038 CAFÉ SEXTO  SENT  PBR107-06-6800</v>
          </cell>
        </row>
        <row r="32">
          <cell r="A32" t="str">
            <v>35064 ESTEARATO  DE ZINC AG CHEMICALS</v>
          </cell>
        </row>
        <row r="33">
          <cell r="A33" t="str">
            <v>35114 ROJO IRGALIT NBSP CIBA-GEIGY</v>
          </cell>
        </row>
        <row r="34">
          <cell r="A34" t="str">
            <v>35126- ROSADO GLAM PP 101-06-0342</v>
          </cell>
        </row>
        <row r="35">
          <cell r="A35" t="str">
            <v>49037 ENDURECEDOR BH TUBO 200ml MACOLA - HARDERNER BH.</v>
          </cell>
        </row>
        <row r="36">
          <cell r="A36" t="str">
            <v xml:space="preserve">ULTRAPACAK UVC, Sin 188 y 270 -  49180 TINTA TIPO UVC VIOLETA 950,49165 TINTA  TIPO UVC  AMARILLO 922, 49166 TINTA TIPO UVC AZUL BRILL 956, 49167 TINTA TIPO UVC AZUL ULTRA 152, 49168 TINTA TIPO UVC 970, 49169 TINTA TIPO UVC BLANCO OP 170, 49170 TINTA TIPO UVC MAGENTA 936, 49171 TINTA TIPO UVC NARANJA 926, 49172 TINTA TIPO UVC NEGRO 980, 49173 TINTA TIPO UVC NEGRO  OP 180, 49174  TINTA TIPO UVC PANTONE 8422 C, 49175 TINTA 934, 49177    TINTA TIPO UVC VERDE AZUL 960, 49178 TINTA TIPO UVC VERDE OP 162, 49179 TINTA TIPO UVC VERDE OP 962TIPO UVC  ROJO 932, 49176 TINTA TIPO UVC ROJO CARMIN </v>
          </cell>
        </row>
        <row r="37">
          <cell r="A37" t="str">
            <v>49215  ENDURECEDOR  HI MARABU-HARDENER H1</v>
          </cell>
        </row>
        <row r="38">
          <cell r="A38" t="str">
            <v>49273 ADITIVO ORO LOR 6250  - Teinte</v>
          </cell>
        </row>
        <row r="39">
          <cell r="A39" t="str">
            <v>49289  LACA PROTECCIÓN UV LUX5123XC - VERNIS DE FINITION UV META M.A.C. INCOLORE BRILLANT</v>
          </cell>
        </row>
        <row r="40">
          <cell r="A40" t="str">
            <v xml:space="preserve">49306 ADITIVO VIOLETA LOR 6251 - Aubergine color.
</v>
          </cell>
        </row>
        <row r="41">
          <cell r="A41" t="str">
            <v>DISOLVENTE MARABU UKV 49216 - Thinner UKV 1</v>
          </cell>
        </row>
        <row r="42">
          <cell r="A42" t="str">
            <v xml:space="preserve">DURODUR 3051-168 CLEAR PBW 100:15 HA5410 - </v>
          </cell>
        </row>
        <row r="43">
          <cell r="A43" t="str">
            <v>AZUL SUMIPLAST 300 MM-21420</v>
          </cell>
        </row>
        <row r="44">
          <cell r="A44" t="str">
            <v>30005 PEBD 6401 NAT DOW - POLIETILENO 640I BAJA DENSIDAD</v>
          </cell>
        </row>
        <row r="45">
          <cell r="A45" t="str">
            <v>35131 ROSADO PP 200-07-0072 PERMAQUI</v>
          </cell>
        </row>
        <row r="46">
          <cell r="A46" t="str">
            <v xml:space="preserve">35116-ROJO PASION  PR 200-06-0327 </v>
          </cell>
        </row>
        <row r="47">
          <cell r="A47" t="str">
            <v>35047 CLO. ORANGE PERMAQUIN - CLOISO. OR 363C</v>
          </cell>
        </row>
        <row r="48">
          <cell r="A48" t="str">
            <v>49042 HARDENER LMN</v>
          </cell>
        </row>
      </sheetData>
      <sheetData sheetId="9"/>
      <sheetData sheetId="10"/>
      <sheetData sheetId="1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 Id="rId3" Type="http://schemas.openxmlformats.org/officeDocument/2006/relationships/image" Target="../media/logoitm.png"/></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 Id="rId3" Type="http://schemas.openxmlformats.org/officeDocument/2006/relationships/image" Target="../media/logoitm.png"/></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 Id="rId2" Type="http://schemas.openxmlformats.org/officeDocument/2006/relationships/image" Target="../media/logoitm.png"/></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 Id="rId2" Type="http://schemas.openxmlformats.org/officeDocument/2006/relationships/image" Target="../media/logoitm.png"/></Relationships>
</file>

<file path=xl/worksheets/_rels/sheet5.xml.rels><?xml version="1.0" encoding="UTF-8" standalone="yes"?><Relationships xmlns="http://schemas.openxmlformats.org/package/2006/relationships"><Relationship Id="rId1" Type="http://schemas.openxmlformats.org/officeDocument/2006/relationships/image" Target="../media/logoitm.png"/><Relationship Id="rId2" Type="http://schemas.openxmlformats.org/officeDocument/2006/relationships/image" Target="../media/logoitm.png"/></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 Id="rId3" Type="http://schemas.openxmlformats.org/officeDocument/2006/relationships/image" Target="../media/logoitm.png"/></Relationships>
</file>

<file path=xl/worksheets/_rels/sheet7.xml.rels><?xml version="1.0" encoding="UTF-8" standalone="yes"?><Relationships xmlns="http://schemas.openxmlformats.org/package/2006/relationships"><Relationship Id="rId1" Type="http://schemas.openxmlformats.org/officeDocument/2006/relationships/image" Target="../media/logoitm.png"/><Relationship Id="rId2" Type="http://schemas.openxmlformats.org/officeDocument/2006/relationships/image" Target="../media/logoitm.png"/></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1.xml"/><Relationship Id="rId5" Type="http://schemas.openxmlformats.org/officeDocument/2006/relationships/image" Target="../media/logoitm.png"/></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2.xml"/><Relationship Id="rId5" Type="http://schemas.openxmlformats.org/officeDocument/2006/relationships/image" Target="../media/logoitm.png"/></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 Id="rId3" Type="http://schemas.openxmlformats.org/officeDocument/2006/relationships/image" Target="../media/logoitm.png"/></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7.xml"/><Relationship Id="rId2" Type="http://schemas.openxmlformats.org/officeDocument/2006/relationships/image" Target="../media/logoitm.png"/></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8.xml"/><Relationship Id="rId2" Type="http://schemas.openxmlformats.org/officeDocument/2006/relationships/image" Target="../media/logoitm.png"/></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M44"/>
  <sheetViews>
    <sheetView tabSelected="1" zoomScaleNormal="100" workbookViewId="0">
      <selection activeCell="G35" sqref="G35"/>
    </sheetView>
  </sheetViews>
  <sheetFormatPr baseColWidth="10" defaultColWidth="11.5703125" defaultRowHeight="12.75" x14ac:dyDescent="0.2"/>
  <cols>
    <col min="1" max="1" width="21.140625" style="202" customWidth="1"/>
    <col min="2" max="2" width="15.42578125" style="202" customWidth="1"/>
    <col min="3" max="3" width="32.5703125" style="202" customWidth="1"/>
    <col min="4" max="4" width="45.7109375" style="202" customWidth="1"/>
    <col min="5" max="5" width="8.85546875" style="207" customWidth="1"/>
    <col min="6" max="6" width="11.140625" style="207" customWidth="1"/>
    <col min="7" max="7" width="45.7109375" style="207" customWidth="1"/>
    <col min="8" max="16384" width="11.5703125" style="202"/>
  </cols>
  <sheetPr>
    <picture r:id="rId3"/>
  </sheetPr>
  <sheetData>
    <row r="1" spans="1:13" ht="18.75" customHeight="1" x14ac:dyDescent="0.2">
      <c r="A1" s="222"/>
      <c r="B1" s="221" t="s">
        <v>3126</v>
      </c>
      <c r="C1" s="221"/>
      <c r="D1" s="221"/>
      <c r="E1" s="81" t="s">
        <v>3121</v>
      </c>
      <c r="F1" s="201" t="s">
        <v>3160</v>
      </c>
      <c r="G1" s="85"/>
    </row>
    <row r="2" spans="1:13" ht="16.5" customHeight="1" x14ac:dyDescent="0.2">
      <c r="A2" s="222"/>
      <c r="B2" s="221"/>
      <c r="C2" s="221"/>
      <c r="D2" s="221"/>
      <c r="E2" s="82" t="s">
        <v>3122</v>
      </c>
      <c r="F2" s="203" t="s">
        <v>3161</v>
      </c>
      <c r="G2" s="85"/>
      <c r="H2" s="220"/>
      <c r="I2" s="220"/>
      <c r="J2" s="220"/>
      <c r="K2" s="220"/>
      <c r="L2" s="220"/>
      <c r="M2" s="220"/>
    </row>
    <row r="3" spans="1:13" ht="18.75" customHeight="1" x14ac:dyDescent="0.2">
      <c r="A3" s="222"/>
      <c r="B3" s="221"/>
      <c r="C3" s="221"/>
      <c r="D3" s="221"/>
      <c r="E3" s="81" t="s">
        <v>3123</v>
      </c>
      <c r="F3" s="203" t="s">
        <v>3162</v>
      </c>
      <c r="G3" s="85"/>
      <c r="H3" s="220"/>
      <c r="I3" s="220"/>
      <c r="J3" s="220"/>
      <c r="K3" s="220"/>
      <c r="L3" s="220"/>
      <c r="M3" s="220"/>
    </row>
    <row r="4" spans="1:13" x14ac:dyDescent="0.2">
      <c r="A4" s="204"/>
      <c r="B4" s="204"/>
      <c r="C4" s="204"/>
      <c r="D4" s="204"/>
      <c r="E4" s="205"/>
      <c r="F4" s="205"/>
      <c r="G4" s="205"/>
      <c r="H4" s="220"/>
      <c r="I4" s="220"/>
      <c r="J4" s="220"/>
      <c r="K4" s="220"/>
      <c r="L4" s="220"/>
      <c r="M4" s="220"/>
    </row>
    <row r="5" spans="1:13" ht="18" customHeight="1" x14ac:dyDescent="0.2">
      <c r="A5" s="223" t="s">
        <v>3118</v>
      </c>
      <c r="B5" s="223"/>
      <c r="C5" s="88" t="s">
        <v>3119</v>
      </c>
      <c r="D5" s="222" t="s">
        <v>3117</v>
      </c>
      <c r="E5" s="222"/>
      <c r="F5" s="222"/>
      <c r="G5" s="89"/>
      <c r="H5" s="220"/>
      <c r="I5" s="220"/>
      <c r="J5" s="220"/>
      <c r="K5" s="220"/>
      <c r="L5" s="220"/>
      <c r="M5" s="220"/>
    </row>
    <row r="6" spans="1:13" s="206" customFormat="1" ht="35.25" customHeight="1" x14ac:dyDescent="0.2">
      <c r="A6" s="232" t="s">
        <v>818</v>
      </c>
      <c r="B6" s="232"/>
      <c r="C6" s="90" t="s">
        <v>3183</v>
      </c>
      <c r="D6" s="208" t="s">
        <v>3184</v>
      </c>
      <c r="E6" s="208"/>
      <c r="F6" s="208"/>
      <c r="G6" s="91"/>
    </row>
    <row r="7" spans="1:13" s="206" customFormat="1" ht="35.25" customHeight="1" x14ac:dyDescent="0.2">
      <c r="A7" s="232"/>
      <c r="B7" s="232"/>
      <c r="C7" s="90" t="s">
        <v>819</v>
      </c>
      <c r="D7" s="208" t="s">
        <v>828</v>
      </c>
      <c r="E7" s="208"/>
      <c r="F7" s="208"/>
      <c r="G7" s="91"/>
    </row>
    <row r="8" spans="1:13" s="206" customFormat="1" x14ac:dyDescent="0.2">
      <c r="A8" s="232"/>
      <c r="B8" s="232"/>
      <c r="C8" s="90" t="s">
        <v>820</v>
      </c>
      <c r="D8" s="208" t="s">
        <v>829</v>
      </c>
      <c r="E8" s="208"/>
      <c r="F8" s="208"/>
      <c r="G8" s="91"/>
    </row>
    <row r="9" spans="1:13" s="206" customFormat="1" ht="35.25" customHeight="1" x14ac:dyDescent="0.2">
      <c r="A9" s="232"/>
      <c r="B9" s="232"/>
      <c r="C9" s="90" t="s">
        <v>821</v>
      </c>
      <c r="D9" s="208" t="s">
        <v>3185</v>
      </c>
      <c r="E9" s="208"/>
      <c r="F9" s="208"/>
      <c r="G9" s="91"/>
    </row>
    <row r="10" spans="1:13" s="206" customFormat="1" x14ac:dyDescent="0.2">
      <c r="A10" s="232"/>
      <c r="B10" s="232"/>
      <c r="C10" s="90" t="s">
        <v>814</v>
      </c>
      <c r="D10" s="208" t="s">
        <v>3125</v>
      </c>
      <c r="E10" s="208"/>
      <c r="F10" s="208"/>
      <c r="G10" s="91"/>
    </row>
    <row r="11" spans="1:13" s="206" customFormat="1" x14ac:dyDescent="0.2">
      <c r="A11" s="232"/>
      <c r="B11" s="232"/>
      <c r="C11" s="90" t="s">
        <v>815</v>
      </c>
      <c r="D11" s="208" t="s">
        <v>830</v>
      </c>
      <c r="E11" s="208"/>
      <c r="F11" s="208"/>
      <c r="G11" s="91"/>
    </row>
    <row r="12" spans="1:13" s="206" customFormat="1" ht="35.25" customHeight="1" x14ac:dyDescent="0.2">
      <c r="A12" s="232"/>
      <c r="B12" s="232"/>
      <c r="C12" s="90" t="s">
        <v>3186</v>
      </c>
      <c r="D12" s="208" t="s">
        <v>3187</v>
      </c>
      <c r="E12" s="208"/>
      <c r="F12" s="208"/>
      <c r="G12" s="91"/>
    </row>
    <row r="13" spans="1:13" s="206" customFormat="1" ht="35.25" customHeight="1" x14ac:dyDescent="0.2">
      <c r="A13" s="232"/>
      <c r="B13" s="232"/>
      <c r="C13" s="90" t="s">
        <v>822</v>
      </c>
      <c r="D13" s="208" t="s">
        <v>3188</v>
      </c>
      <c r="E13" s="208"/>
      <c r="F13" s="208"/>
      <c r="G13" s="91"/>
    </row>
    <row r="14" spans="1:13" s="206" customFormat="1" ht="35.25" customHeight="1" x14ac:dyDescent="0.2">
      <c r="A14" s="232"/>
      <c r="B14" s="232"/>
      <c r="C14" s="90" t="s">
        <v>802</v>
      </c>
      <c r="D14" s="208" t="s">
        <v>3189</v>
      </c>
      <c r="E14" s="208"/>
      <c r="F14" s="208"/>
      <c r="G14" s="91"/>
    </row>
    <row r="15" spans="1:13" s="206" customFormat="1" ht="35.25" customHeight="1" x14ac:dyDescent="0.2">
      <c r="A15" s="232"/>
      <c r="B15" s="232"/>
      <c r="C15" s="90" t="s">
        <v>823</v>
      </c>
      <c r="D15" s="208" t="s">
        <v>831</v>
      </c>
      <c r="E15" s="208"/>
      <c r="F15" s="208"/>
      <c r="G15" s="91"/>
    </row>
    <row r="16" spans="1:13" s="206" customFormat="1" x14ac:dyDescent="0.2">
      <c r="A16" s="232"/>
      <c r="B16" s="232"/>
      <c r="C16" s="90" t="s">
        <v>3190</v>
      </c>
      <c r="D16" s="208" t="s">
        <v>3191</v>
      </c>
      <c r="E16" s="208"/>
      <c r="F16" s="208"/>
      <c r="G16" s="91"/>
    </row>
    <row r="17" spans="1:7" s="206" customFormat="1" ht="35.25" customHeight="1" x14ac:dyDescent="0.2">
      <c r="A17" s="232"/>
      <c r="B17" s="232"/>
      <c r="C17" s="90" t="s">
        <v>824</v>
      </c>
      <c r="D17" s="208" t="s">
        <v>832</v>
      </c>
      <c r="E17" s="208"/>
      <c r="F17" s="208"/>
      <c r="G17" s="91"/>
    </row>
    <row r="18" spans="1:7" s="206" customFormat="1" ht="35.25" customHeight="1" x14ac:dyDescent="0.2">
      <c r="A18" s="232"/>
      <c r="B18" s="232"/>
      <c r="C18" s="90" t="s">
        <v>3163</v>
      </c>
      <c r="D18" s="208" t="s">
        <v>3164</v>
      </c>
      <c r="E18" s="208"/>
      <c r="F18" s="208"/>
      <c r="G18" s="91"/>
    </row>
    <row r="19" spans="1:7" s="206" customFormat="1" ht="35.25" customHeight="1" x14ac:dyDescent="0.2">
      <c r="A19" s="232"/>
      <c r="B19" s="232"/>
      <c r="C19" s="90" t="s">
        <v>825</v>
      </c>
      <c r="D19" s="208" t="s">
        <v>3165</v>
      </c>
      <c r="E19" s="208"/>
      <c r="F19" s="208"/>
      <c r="G19" s="91"/>
    </row>
    <row r="20" spans="1:7" s="206" customFormat="1" ht="35.25" customHeight="1" x14ac:dyDescent="0.2">
      <c r="A20" s="234" t="s">
        <v>3166</v>
      </c>
      <c r="B20" s="227" t="s">
        <v>20</v>
      </c>
      <c r="C20" s="228"/>
      <c r="D20" s="208" t="s">
        <v>3167</v>
      </c>
      <c r="E20" s="208"/>
      <c r="F20" s="208"/>
      <c r="G20" s="91"/>
    </row>
    <row r="21" spans="1:7" s="206" customFormat="1" ht="35.25" customHeight="1" x14ac:dyDescent="0.2">
      <c r="A21" s="234"/>
      <c r="B21" s="227" t="s">
        <v>21</v>
      </c>
      <c r="C21" s="228"/>
      <c r="D21" s="208"/>
      <c r="E21" s="208"/>
      <c r="F21" s="208"/>
      <c r="G21" s="91"/>
    </row>
    <row r="22" spans="1:7" s="206" customFormat="1" ht="35.25" customHeight="1" x14ac:dyDescent="0.2">
      <c r="A22" s="234"/>
      <c r="B22" s="227" t="s">
        <v>37</v>
      </c>
      <c r="C22" s="228"/>
      <c r="D22" s="208"/>
      <c r="E22" s="208"/>
      <c r="F22" s="208"/>
      <c r="G22" s="91"/>
    </row>
    <row r="23" spans="1:7" s="206" customFormat="1" ht="35.25" customHeight="1" x14ac:dyDescent="0.2">
      <c r="A23" s="245" t="s">
        <v>797</v>
      </c>
      <c r="B23" s="229" t="s">
        <v>2</v>
      </c>
      <c r="C23" s="247"/>
      <c r="D23" s="208" t="s">
        <v>833</v>
      </c>
      <c r="E23" s="208"/>
      <c r="F23" s="208"/>
      <c r="G23" s="91"/>
    </row>
    <row r="24" spans="1:7" s="206" customFormat="1" ht="35.25" customHeight="1" x14ac:dyDescent="0.2">
      <c r="A24" s="246"/>
      <c r="B24" s="229" t="s">
        <v>3168</v>
      </c>
      <c r="C24" s="247"/>
      <c r="D24" s="208" t="s">
        <v>3169</v>
      </c>
      <c r="E24" s="208"/>
      <c r="F24" s="208"/>
      <c r="G24" s="91"/>
    </row>
    <row r="25" spans="1:7" s="206" customFormat="1" ht="35.25" customHeight="1" x14ac:dyDescent="0.2">
      <c r="A25" s="225" t="s">
        <v>1</v>
      </c>
      <c r="B25" s="227" t="s">
        <v>812</v>
      </c>
      <c r="C25" s="228"/>
      <c r="D25" s="208" t="s">
        <v>3170</v>
      </c>
      <c r="E25" s="208"/>
      <c r="F25" s="208"/>
      <c r="G25" s="91"/>
    </row>
    <row r="26" spans="1:7" s="206" customFormat="1" ht="35.25" customHeight="1" x14ac:dyDescent="0.2">
      <c r="A26" s="226"/>
      <c r="B26" s="229" t="s">
        <v>3171</v>
      </c>
      <c r="C26" s="229"/>
      <c r="D26" s="218" t="s">
        <v>3172</v>
      </c>
      <c r="E26" s="208"/>
      <c r="F26" s="208"/>
      <c r="G26" s="91"/>
    </row>
    <row r="27" spans="1:7" s="206" customFormat="1" ht="48.75" customHeight="1" x14ac:dyDescent="0.2">
      <c r="A27" s="241" t="s">
        <v>799</v>
      </c>
      <c r="B27" s="242"/>
      <c r="C27" s="92" t="s">
        <v>812</v>
      </c>
      <c r="D27" s="208" t="s">
        <v>3173</v>
      </c>
      <c r="E27" s="208"/>
      <c r="F27" s="208"/>
      <c r="G27" s="91"/>
    </row>
    <row r="28" spans="1:7" s="206" customFormat="1" ht="24" customHeight="1" x14ac:dyDescent="0.2">
      <c r="A28" s="243"/>
      <c r="B28" s="244"/>
      <c r="C28" s="92" t="s">
        <v>835</v>
      </c>
      <c r="D28" s="208" t="s">
        <v>3116</v>
      </c>
      <c r="E28" s="208"/>
      <c r="F28" s="208"/>
      <c r="G28" s="91"/>
    </row>
    <row r="29" spans="1:7" s="206" customFormat="1" ht="27" customHeight="1" x14ac:dyDescent="0.2">
      <c r="A29" s="224" t="s">
        <v>29</v>
      </c>
      <c r="B29" s="230" t="s">
        <v>88</v>
      </c>
      <c r="C29" s="94" t="s">
        <v>793</v>
      </c>
      <c r="D29" s="219" t="s">
        <v>3174</v>
      </c>
      <c r="E29" s="210"/>
      <c r="F29" s="211"/>
      <c r="G29" s="91"/>
    </row>
    <row r="30" spans="1:7" s="206" customFormat="1" ht="22.5" customHeight="1" x14ac:dyDescent="0.2">
      <c r="A30" s="224"/>
      <c r="B30" s="231"/>
      <c r="C30" s="94" t="s">
        <v>794</v>
      </c>
      <c r="D30" s="212"/>
      <c r="E30" s="213"/>
      <c r="F30" s="214"/>
      <c r="G30" s="200"/>
    </row>
    <row r="31" spans="1:7" s="206" customFormat="1" ht="27.75" customHeight="1" x14ac:dyDescent="0.2">
      <c r="A31" s="224"/>
      <c r="B31" s="231"/>
      <c r="C31" s="94" t="s">
        <v>30</v>
      </c>
      <c r="D31" s="212"/>
      <c r="E31" s="213"/>
      <c r="F31" s="214"/>
      <c r="G31" s="200"/>
    </row>
    <row r="32" spans="1:7" s="206" customFormat="1" ht="26.25" customHeight="1" x14ac:dyDescent="0.2">
      <c r="A32" s="224"/>
      <c r="B32" s="231"/>
      <c r="C32" s="94" t="s">
        <v>795</v>
      </c>
      <c r="D32" s="212"/>
      <c r="E32" s="213"/>
      <c r="F32" s="214"/>
      <c r="G32" s="200"/>
    </row>
    <row r="33" spans="1:7" s="206" customFormat="1" ht="21.75" customHeight="1" x14ac:dyDescent="0.2">
      <c r="A33" s="224"/>
      <c r="B33" s="231"/>
      <c r="C33" s="94" t="s">
        <v>796</v>
      </c>
      <c r="D33" s="215"/>
      <c r="E33" s="216"/>
      <c r="F33" s="217"/>
      <c r="G33" s="200"/>
    </row>
    <row r="34" spans="1:7" s="206" customFormat="1" ht="32.25" customHeight="1" x14ac:dyDescent="0.2">
      <c r="A34" s="224"/>
      <c r="B34" s="232" t="s">
        <v>48</v>
      </c>
      <c r="C34" s="233"/>
      <c r="D34" s="208" t="s">
        <v>3175</v>
      </c>
      <c r="E34" s="208"/>
      <c r="F34" s="208"/>
      <c r="G34" s="91"/>
    </row>
    <row r="35" spans="1:7" s="206" customFormat="1" ht="66" customHeight="1" x14ac:dyDescent="0.2">
      <c r="A35" s="224"/>
      <c r="B35" s="232" t="s">
        <v>826</v>
      </c>
      <c r="C35" s="233"/>
      <c r="D35" s="218" t="s">
        <v>3176</v>
      </c>
      <c r="E35" s="208"/>
      <c r="F35" s="208"/>
      <c r="G35" s="91"/>
    </row>
    <row r="36" spans="1:7" s="206" customFormat="1" ht="46.5" customHeight="1" x14ac:dyDescent="0.2">
      <c r="A36" s="224"/>
      <c r="B36" s="232" t="s">
        <v>827</v>
      </c>
      <c r="C36" s="233"/>
      <c r="D36" s="218" t="s">
        <v>3177</v>
      </c>
      <c r="E36" s="208"/>
      <c r="F36" s="208"/>
      <c r="G36" s="91"/>
    </row>
    <row r="37" spans="1:7" s="206" customFormat="1" ht="12.75" customHeight="1" x14ac:dyDescent="0.2">
      <c r="A37" s="235" t="s">
        <v>805</v>
      </c>
      <c r="B37" s="236"/>
      <c r="C37" s="95" t="s">
        <v>3178</v>
      </c>
      <c r="D37" s="209" t="s">
        <v>3179</v>
      </c>
      <c r="E37" s="210"/>
      <c r="F37" s="211"/>
      <c r="G37" s="91"/>
    </row>
    <row r="38" spans="1:7" s="206" customFormat="1" x14ac:dyDescent="0.2">
      <c r="A38" s="237"/>
      <c r="B38" s="238"/>
      <c r="C38" s="95" t="s">
        <v>80</v>
      </c>
      <c r="D38" s="212"/>
      <c r="E38" s="213"/>
      <c r="F38" s="214"/>
      <c r="G38" s="91"/>
    </row>
    <row r="39" spans="1:7" s="206" customFormat="1" x14ac:dyDescent="0.2">
      <c r="A39" s="237"/>
      <c r="B39" s="238"/>
      <c r="C39" s="95" t="s">
        <v>55</v>
      </c>
      <c r="D39" s="212"/>
      <c r="E39" s="213"/>
      <c r="F39" s="214"/>
      <c r="G39" s="91"/>
    </row>
    <row r="40" spans="1:7" s="206" customFormat="1" x14ac:dyDescent="0.2">
      <c r="A40" s="239"/>
      <c r="B40" s="240"/>
      <c r="C40" s="95" t="s">
        <v>56</v>
      </c>
      <c r="D40" s="215"/>
      <c r="E40" s="216"/>
      <c r="F40" s="217"/>
      <c r="G40" s="91"/>
    </row>
    <row r="41" spans="1:7" s="206" customFormat="1" ht="39" customHeight="1" x14ac:dyDescent="0.2">
      <c r="A41" s="224" t="s">
        <v>810</v>
      </c>
      <c r="B41" s="224"/>
      <c r="C41" s="93" t="s">
        <v>811</v>
      </c>
      <c r="D41" s="208" t="s">
        <v>3180</v>
      </c>
      <c r="E41" s="208"/>
      <c r="F41" s="208"/>
      <c r="G41" s="91"/>
    </row>
    <row r="42" spans="1:7" s="206" customFormat="1" ht="29.25" customHeight="1" x14ac:dyDescent="0.2">
      <c r="A42" s="224"/>
      <c r="B42" s="224"/>
      <c r="C42" s="93" t="s">
        <v>3181</v>
      </c>
      <c r="D42" s="208" t="s">
        <v>3182</v>
      </c>
      <c r="E42" s="208"/>
      <c r="F42" s="208"/>
      <c r="G42" s="91"/>
    </row>
    <row r="43" spans="1:7" s="206" customFormat="1" ht="27" customHeight="1" x14ac:dyDescent="0.2">
      <c r="A43" s="224"/>
      <c r="B43" s="224"/>
      <c r="C43" s="93" t="s">
        <v>792</v>
      </c>
      <c r="D43" s="208" t="s">
        <v>3120</v>
      </c>
      <c r="E43" s="208"/>
      <c r="F43" s="208"/>
      <c r="G43" s="91"/>
    </row>
    <row r="44" spans="1:7" x14ac:dyDescent="0.2">
      <c r="A44" s="204"/>
      <c r="B44" s="204"/>
      <c r="C44" s="204"/>
      <c r="D44" s="204"/>
      <c r="E44" s="205"/>
      <c r="F44" s="205"/>
      <c r="G44" s="205"/>
    </row>
  </sheetData>
  <mergeCells count="53">
    <mergeCell ref="A20:A22"/>
    <mergeCell ref="B20:C20"/>
    <mergeCell ref="A6:B19"/>
    <mergeCell ref="A37:B40"/>
    <mergeCell ref="A27:B28"/>
    <mergeCell ref="B21:C21"/>
    <mergeCell ref="B22:C22"/>
    <mergeCell ref="A23:A24"/>
    <mergeCell ref="B23:C23"/>
    <mergeCell ref="B24:C24"/>
    <mergeCell ref="A41:B43"/>
    <mergeCell ref="A25:A26"/>
    <mergeCell ref="B25:C25"/>
    <mergeCell ref="B26:C26"/>
    <mergeCell ref="A29:A36"/>
    <mergeCell ref="B29:B33"/>
    <mergeCell ref="B34:C34"/>
    <mergeCell ref="B35:C35"/>
    <mergeCell ref="B36:C36"/>
    <mergeCell ref="H2:M5"/>
    <mergeCell ref="B1:D3"/>
    <mergeCell ref="A1:A3"/>
    <mergeCell ref="D5:F5"/>
    <mergeCell ref="A5:B5"/>
    <mergeCell ref="D6:F6"/>
    <mergeCell ref="D7:F7"/>
    <mergeCell ref="D8:F8"/>
    <mergeCell ref="D9:F9"/>
    <mergeCell ref="D10:F10"/>
    <mergeCell ref="D11:F11"/>
    <mergeCell ref="D12:F12"/>
    <mergeCell ref="D13:F13"/>
    <mergeCell ref="D14:F14"/>
    <mergeCell ref="D15:F15"/>
    <mergeCell ref="D16:F16"/>
    <mergeCell ref="D17:F17"/>
    <mergeCell ref="D18:F18"/>
    <mergeCell ref="D19:F19"/>
    <mergeCell ref="D20:F22"/>
    <mergeCell ref="D29:F33"/>
    <mergeCell ref="D28:F28"/>
    <mergeCell ref="D23:F23"/>
    <mergeCell ref="D24:F24"/>
    <mergeCell ref="D25:F25"/>
    <mergeCell ref="D26:F26"/>
    <mergeCell ref="D27:F27"/>
    <mergeCell ref="D42:F42"/>
    <mergeCell ref="D43:F43"/>
    <mergeCell ref="D37:F40"/>
    <mergeCell ref="D41:F41"/>
    <mergeCell ref="D34:F34"/>
    <mergeCell ref="D35:F35"/>
    <mergeCell ref="D36:F36"/>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picture r:id="rId3"/>
  </sheetPr>
  <dimension ref="A1:AP278"/>
  <sheetViews>
    <sheetView showGridLines="0" view="pageBreakPreview" zoomScale="50" zoomScaleNormal="50" zoomScaleSheetLayoutView="50" workbookViewId="0">
      <pane xSplit="1" ySplit="7" topLeftCell="B8" activePane="bottomRight" state="frozen"/>
      <selection pane="topRight" activeCell="B1" sqref="B1"/>
      <selection pane="bottomLeft" activeCell="A8" sqref="A8"/>
      <selection pane="bottomRight" activeCell="F15" sqref="F15"/>
    </sheetView>
  </sheetViews>
  <sheetFormatPr baseColWidth="10" defaultColWidth="11.42578125" defaultRowHeight="29.25" customHeight="1" x14ac:dyDescent="0.25"/>
  <cols>
    <col min="1" max="1" width="5.140625" style="135" customWidth="1"/>
    <col min="2" max="2" width="30.7109375" style="171" customWidth="1"/>
    <col min="3" max="3" width="36.85546875" style="171" customWidth="1"/>
    <col min="4" max="4" width="30.7109375" style="171" customWidth="1"/>
    <col min="5" max="5" width="20.5703125" style="143" customWidth="1"/>
    <col min="6" max="6" width="32.28515625" style="143" bestFit="1" customWidth="1"/>
    <col min="7" max="7" width="32.28515625" style="143" customWidth="1"/>
    <col min="8" max="8" width="38" style="143" customWidth="1"/>
    <col min="9" max="9" width="46" style="172" customWidth="1"/>
    <col min="10" max="13" width="37.28515625" style="143" customWidth="1"/>
    <col min="14" max="14" width="43.7109375" style="169" customWidth="1"/>
    <col min="15" max="15" width="53" style="143" customWidth="1"/>
    <col min="16" max="16" width="18" style="143" customWidth="1"/>
    <col min="17" max="18" width="17.7109375" style="143" bestFit="1" customWidth="1"/>
    <col min="19" max="19" width="17.7109375" style="143" customWidth="1"/>
    <col min="20" max="20" width="25.5703125" style="143" customWidth="1"/>
    <col min="21" max="21" width="19.42578125" style="143" bestFit="1" customWidth="1"/>
    <col min="22" max="22" width="24.5703125" style="143" customWidth="1"/>
    <col min="23" max="23" width="49.42578125" style="143" bestFit="1" customWidth="1"/>
    <col min="24" max="24" width="49.42578125" style="143" customWidth="1"/>
    <col min="25" max="25" width="27" style="143" customWidth="1"/>
    <col min="26" max="26" width="24" style="143" customWidth="1"/>
    <col min="27" max="27" width="33" style="143" bestFit="1" customWidth="1"/>
    <col min="28" max="28" width="21.140625" style="143" customWidth="1"/>
    <col min="29" max="29" width="24.85546875" style="143" customWidth="1"/>
    <col min="30" max="30" width="34.85546875" style="143" bestFit="1" customWidth="1"/>
    <col min="31" max="31" width="44.140625" style="135" customWidth="1"/>
    <col min="32" max="32" width="74.42578125" style="135" customWidth="1"/>
    <col min="33" max="33" width="25.85546875" style="135" customWidth="1"/>
    <col min="34" max="34" width="15.7109375" style="135" customWidth="1"/>
    <col min="35" max="35" width="23.7109375" style="135" bestFit="1" customWidth="1"/>
    <col min="36" max="36" width="20.5703125" style="135" bestFit="1" customWidth="1"/>
    <col min="37" max="37" width="18.140625" style="135" customWidth="1"/>
    <col min="38" max="38" width="42.140625" style="143" customWidth="1"/>
    <col min="39" max="39" width="60.140625" style="135" customWidth="1"/>
    <col min="40" max="40" width="34" style="143" customWidth="1"/>
    <col min="41" max="41" width="34" style="135" hidden="1" customWidth="1"/>
    <col min="42" max="42" width="21.7109375" style="197" customWidth="1"/>
    <col min="43" max="78" width="11.42578125" style="139" customWidth="1"/>
    <col min="79" max="16384" width="11.42578125" style="139"/>
  </cols>
  <sheetData>
    <row r="1" spans="1:42" s="9" customFormat="1" ht="25.15" customHeight="1" x14ac:dyDescent="0.2">
      <c r="A1" s="248"/>
      <c r="B1" s="248"/>
      <c r="C1" s="249"/>
      <c r="D1" s="252" t="s">
        <v>3124</v>
      </c>
      <c r="E1" s="252"/>
      <c r="F1" s="252"/>
      <c r="G1" s="252"/>
      <c r="H1" s="252"/>
      <c r="I1" s="252"/>
      <c r="J1" s="252"/>
      <c r="K1" s="252"/>
      <c r="L1" s="252"/>
      <c r="M1" s="252"/>
      <c r="N1" s="252"/>
      <c r="O1" s="252"/>
      <c r="P1" s="252"/>
      <c r="Q1" s="252"/>
      <c r="R1" s="252"/>
      <c r="S1" s="252"/>
      <c r="T1" s="252"/>
      <c r="U1" s="252"/>
      <c r="V1" s="252"/>
      <c r="W1" s="252"/>
      <c r="X1" s="252"/>
      <c r="Y1" s="252"/>
      <c r="Z1" s="252"/>
      <c r="AA1" s="252"/>
      <c r="AB1" s="252"/>
      <c r="AC1" s="252"/>
      <c r="AD1" s="252"/>
      <c r="AE1" s="252"/>
      <c r="AF1" s="252"/>
      <c r="AG1" s="252"/>
      <c r="AH1" s="252"/>
      <c r="AI1" s="252"/>
      <c r="AJ1" s="252"/>
      <c r="AK1" s="252"/>
      <c r="AL1" s="83" t="s">
        <v>3121</v>
      </c>
      <c r="AM1" s="176" t="str">
        <f>+Instructivo!F1</f>
        <v>FGL 010</v>
      </c>
      <c r="AN1" s="194"/>
      <c r="AO1" s="177"/>
      <c r="AP1" s="196"/>
    </row>
    <row r="2" spans="1:42" s="9" customFormat="1" ht="25.15" customHeight="1" x14ac:dyDescent="0.2">
      <c r="A2" s="248"/>
      <c r="B2" s="248"/>
      <c r="C2" s="249"/>
      <c r="D2" s="252"/>
      <c r="E2" s="252"/>
      <c r="F2" s="252"/>
      <c r="G2" s="252"/>
      <c r="H2" s="252"/>
      <c r="I2" s="252"/>
      <c r="J2" s="252"/>
      <c r="K2" s="252"/>
      <c r="L2" s="252"/>
      <c r="M2" s="252"/>
      <c r="N2" s="252"/>
      <c r="O2" s="252"/>
      <c r="P2" s="252"/>
      <c r="Q2" s="252"/>
      <c r="R2" s="252"/>
      <c r="S2" s="252"/>
      <c r="T2" s="252"/>
      <c r="U2" s="252"/>
      <c r="V2" s="252"/>
      <c r="W2" s="252"/>
      <c r="X2" s="252"/>
      <c r="Y2" s="252"/>
      <c r="Z2" s="252"/>
      <c r="AA2" s="252"/>
      <c r="AB2" s="252"/>
      <c r="AC2" s="252"/>
      <c r="AD2" s="252"/>
      <c r="AE2" s="252"/>
      <c r="AF2" s="252"/>
      <c r="AG2" s="252"/>
      <c r="AH2" s="252"/>
      <c r="AI2" s="252"/>
      <c r="AJ2" s="252"/>
      <c r="AK2" s="252"/>
      <c r="AL2" s="84" t="s">
        <v>3122</v>
      </c>
      <c r="AM2" s="176" t="str">
        <f>+Instructivo!F2</f>
        <v>09</v>
      </c>
      <c r="AN2" s="194"/>
      <c r="AO2" s="177"/>
      <c r="AP2" s="196"/>
    </row>
    <row r="3" spans="1:42" s="9" customFormat="1" ht="25.15" customHeight="1" x14ac:dyDescent="0.2">
      <c r="A3" s="250"/>
      <c r="B3" s="250"/>
      <c r="C3" s="251"/>
      <c r="D3" s="252"/>
      <c r="E3" s="252"/>
      <c r="F3" s="252"/>
      <c r="G3" s="252"/>
      <c r="H3" s="252"/>
      <c r="I3" s="252"/>
      <c r="J3" s="252"/>
      <c r="K3" s="252"/>
      <c r="L3" s="252"/>
      <c r="M3" s="252"/>
      <c r="N3" s="252"/>
      <c r="O3" s="252"/>
      <c r="P3" s="252"/>
      <c r="Q3" s="252"/>
      <c r="R3" s="252"/>
      <c r="S3" s="252"/>
      <c r="T3" s="252"/>
      <c r="U3" s="252"/>
      <c r="V3" s="252"/>
      <c r="W3" s="252"/>
      <c r="X3" s="252"/>
      <c r="Y3" s="252"/>
      <c r="Z3" s="252"/>
      <c r="AA3" s="252"/>
      <c r="AB3" s="252"/>
      <c r="AC3" s="252"/>
      <c r="AD3" s="252"/>
      <c r="AE3" s="252"/>
      <c r="AF3" s="252"/>
      <c r="AG3" s="252"/>
      <c r="AH3" s="252"/>
      <c r="AI3" s="252"/>
      <c r="AJ3" s="252"/>
      <c r="AK3" s="252"/>
      <c r="AL3" s="83" t="s">
        <v>3123</v>
      </c>
      <c r="AM3" s="176" t="str">
        <f>+Instructivo!F3</f>
        <v>28-08-2023</v>
      </c>
      <c r="AN3" s="194"/>
      <c r="AO3" s="177"/>
      <c r="AP3" s="196"/>
    </row>
    <row r="4" spans="1:42" s="9" customFormat="1" ht="29.25" customHeight="1" x14ac:dyDescent="0.4">
      <c r="A4" s="96"/>
      <c r="B4" s="97"/>
      <c r="C4" s="97"/>
      <c r="D4" s="97"/>
      <c r="E4" s="97"/>
      <c r="F4" s="97"/>
      <c r="G4" s="97"/>
      <c r="H4" s="97"/>
      <c r="I4" s="98"/>
      <c r="J4" s="99"/>
      <c r="K4" s="99"/>
      <c r="L4" s="99"/>
      <c r="M4" s="99"/>
      <c r="N4" s="99"/>
      <c r="O4" s="99"/>
      <c r="P4" s="100"/>
      <c r="Q4" s="100"/>
      <c r="R4" s="100"/>
      <c r="S4" s="100"/>
      <c r="T4" s="100"/>
      <c r="U4" s="100"/>
      <c r="V4" s="100"/>
      <c r="W4" s="100"/>
      <c r="X4" s="100"/>
      <c r="Y4" s="100"/>
      <c r="Z4" s="100"/>
      <c r="AA4" s="100"/>
      <c r="AB4" s="100"/>
      <c r="AC4" s="100"/>
      <c r="AD4" s="101"/>
      <c r="AE4" s="101"/>
      <c r="AF4" s="101"/>
      <c r="AG4" s="101"/>
      <c r="AH4" s="101"/>
      <c r="AI4" s="101"/>
      <c r="AJ4" s="101"/>
      <c r="AK4" s="101"/>
      <c r="AN4" s="12"/>
      <c r="AP4" s="196"/>
    </row>
    <row r="5" spans="1:42" s="135" customFormat="1" ht="59.45" customHeight="1" x14ac:dyDescent="0.25">
      <c r="A5" s="255" t="s">
        <v>791</v>
      </c>
      <c r="B5" s="255"/>
      <c r="C5" s="255"/>
      <c r="D5" s="255"/>
      <c r="E5" s="255"/>
      <c r="F5" s="255"/>
      <c r="G5" s="255"/>
      <c r="H5" s="255"/>
      <c r="I5" s="255"/>
      <c r="J5" s="255"/>
      <c r="K5" s="255"/>
      <c r="L5" s="255"/>
      <c r="M5" s="255"/>
      <c r="N5" s="255"/>
      <c r="O5" s="255"/>
      <c r="P5" s="254" t="s">
        <v>3166</v>
      </c>
      <c r="Q5" s="254"/>
      <c r="R5" s="254"/>
      <c r="S5" s="254" t="s">
        <v>797</v>
      </c>
      <c r="T5" s="254"/>
      <c r="U5" s="254" t="s">
        <v>1</v>
      </c>
      <c r="V5" s="254"/>
      <c r="W5" s="254" t="s">
        <v>799</v>
      </c>
      <c r="X5" s="254"/>
      <c r="Y5" s="253" t="s">
        <v>29</v>
      </c>
      <c r="Z5" s="253"/>
      <c r="AA5" s="253"/>
      <c r="AB5" s="253"/>
      <c r="AC5" s="253"/>
      <c r="AD5" s="253"/>
      <c r="AE5" s="253"/>
      <c r="AF5" s="253"/>
      <c r="AG5" s="257" t="s">
        <v>805</v>
      </c>
      <c r="AH5" s="257"/>
      <c r="AI5" s="257"/>
      <c r="AJ5" s="257"/>
      <c r="AK5" s="253" t="s">
        <v>810</v>
      </c>
      <c r="AL5" s="253"/>
      <c r="AM5" s="253"/>
      <c r="AN5" s="253" t="s">
        <v>3129</v>
      </c>
      <c r="AO5" s="253"/>
      <c r="AP5" s="253"/>
    </row>
    <row r="6" spans="1:42" s="135" customFormat="1" ht="29.25" customHeight="1" x14ac:dyDescent="0.25">
      <c r="A6" s="255"/>
      <c r="B6" s="255"/>
      <c r="C6" s="255"/>
      <c r="D6" s="255"/>
      <c r="E6" s="255"/>
      <c r="F6" s="255"/>
      <c r="G6" s="255"/>
      <c r="H6" s="255"/>
      <c r="I6" s="255"/>
      <c r="J6" s="255"/>
      <c r="K6" s="255"/>
      <c r="L6" s="255"/>
      <c r="M6" s="255"/>
      <c r="N6" s="255"/>
      <c r="O6" s="255"/>
      <c r="P6" s="256" t="s">
        <v>20</v>
      </c>
      <c r="Q6" s="256" t="s">
        <v>21</v>
      </c>
      <c r="R6" s="256" t="s">
        <v>37</v>
      </c>
      <c r="S6" s="256" t="s">
        <v>2</v>
      </c>
      <c r="T6" s="256" t="s">
        <v>3168</v>
      </c>
      <c r="U6" s="256" t="s">
        <v>812</v>
      </c>
      <c r="V6" s="256" t="s">
        <v>3171</v>
      </c>
      <c r="W6" s="254" t="s">
        <v>812</v>
      </c>
      <c r="X6" s="254" t="s">
        <v>834</v>
      </c>
      <c r="Y6" s="253" t="s">
        <v>88</v>
      </c>
      <c r="Z6" s="253"/>
      <c r="AA6" s="253"/>
      <c r="AB6" s="253"/>
      <c r="AC6" s="253"/>
      <c r="AD6" s="255" t="s">
        <v>804</v>
      </c>
      <c r="AE6" s="255" t="s">
        <v>38</v>
      </c>
      <c r="AF6" s="255" t="s">
        <v>39</v>
      </c>
      <c r="AG6" s="257"/>
      <c r="AH6" s="257"/>
      <c r="AI6" s="257"/>
      <c r="AJ6" s="257"/>
      <c r="AK6" s="253"/>
      <c r="AL6" s="253"/>
      <c r="AM6" s="253"/>
      <c r="AN6" s="253"/>
      <c r="AO6" s="253"/>
      <c r="AP6" s="253"/>
    </row>
    <row r="7" spans="1:42" s="191" customFormat="1" ht="127.15" customHeight="1" x14ac:dyDescent="0.25">
      <c r="A7" s="192" t="s">
        <v>0</v>
      </c>
      <c r="B7" s="144" t="s">
        <v>3127</v>
      </c>
      <c r="C7" s="144" t="s">
        <v>816</v>
      </c>
      <c r="D7" s="144" t="s">
        <v>798</v>
      </c>
      <c r="E7" s="144" t="s">
        <v>801</v>
      </c>
      <c r="F7" s="144" t="s">
        <v>807</v>
      </c>
      <c r="G7" s="144" t="s">
        <v>808</v>
      </c>
      <c r="H7" s="144" t="s">
        <v>800</v>
      </c>
      <c r="I7" s="144" t="s">
        <v>806</v>
      </c>
      <c r="J7" s="144" t="s">
        <v>802</v>
      </c>
      <c r="K7" s="144" t="s">
        <v>809</v>
      </c>
      <c r="L7" s="144" t="s">
        <v>813</v>
      </c>
      <c r="M7" s="144" t="s">
        <v>3192</v>
      </c>
      <c r="N7" s="142" t="s">
        <v>3128</v>
      </c>
      <c r="O7" s="144" t="s">
        <v>803</v>
      </c>
      <c r="P7" s="256"/>
      <c r="Q7" s="256"/>
      <c r="R7" s="256"/>
      <c r="S7" s="256"/>
      <c r="T7" s="256"/>
      <c r="U7" s="256"/>
      <c r="V7" s="256"/>
      <c r="W7" s="254"/>
      <c r="X7" s="254"/>
      <c r="Y7" s="145" t="s">
        <v>793</v>
      </c>
      <c r="Z7" s="145" t="s">
        <v>794</v>
      </c>
      <c r="AA7" s="145" t="s">
        <v>30</v>
      </c>
      <c r="AB7" s="145" t="s">
        <v>795</v>
      </c>
      <c r="AC7" s="145" t="s">
        <v>796</v>
      </c>
      <c r="AD7" s="255"/>
      <c r="AE7" s="255"/>
      <c r="AF7" s="255"/>
      <c r="AG7" s="146" t="s">
        <v>3178</v>
      </c>
      <c r="AH7" s="146" t="s">
        <v>80</v>
      </c>
      <c r="AI7" s="146" t="s">
        <v>55</v>
      </c>
      <c r="AJ7" s="146" t="s">
        <v>56</v>
      </c>
      <c r="AK7" s="142" t="s">
        <v>811</v>
      </c>
      <c r="AL7" s="142" t="s">
        <v>3181</v>
      </c>
      <c r="AM7" s="142" t="s">
        <v>792</v>
      </c>
      <c r="AN7" s="142" t="s">
        <v>3158</v>
      </c>
      <c r="AO7" s="142"/>
      <c r="AP7" s="144" t="s">
        <v>3159</v>
      </c>
    </row>
    <row r="8" spans="1:42" s="136" customFormat="1" ht="20.25" customHeight="1" x14ac:dyDescent="0.3">
      <c r="A8" s="181">
        <v>1</v>
      </c>
      <c r="B8" s="182"/>
      <c r="C8" s="183"/>
      <c r="D8" s="183"/>
      <c r="E8" s="184"/>
      <c r="F8" s="184"/>
      <c r="G8" s="184"/>
      <c r="H8" s="185"/>
      <c r="I8" s="182"/>
      <c r="J8" s="182"/>
      <c r="K8" s="182"/>
      <c r="L8" s="182"/>
      <c r="M8" s="186"/>
      <c r="N8" s="183"/>
      <c r="O8" s="183"/>
      <c r="P8" s="184"/>
      <c r="Q8" s="181"/>
      <c r="R8" s="181"/>
      <c r="S8" s="181"/>
      <c r="T8" s="181"/>
      <c r="U8" s="181"/>
      <c r="V8" s="187"/>
      <c r="W8" s="181"/>
      <c r="X8" s="181"/>
      <c r="Y8" s="184"/>
      <c r="Z8" s="184"/>
      <c r="AA8" s="184"/>
      <c r="AB8" s="184"/>
      <c r="AC8" s="184"/>
      <c r="AD8" s="188"/>
      <c r="AE8" s="189"/>
      <c r="AF8" s="189"/>
      <c r="AG8" s="184"/>
      <c r="AH8" s="184"/>
      <c r="AI8" s="184"/>
      <c r="AJ8" s="184"/>
      <c r="AK8" s="181"/>
      <c r="AL8" s="190"/>
      <c r="AM8" s="184" t="str">
        <f ca="1">IF(((TODAY()-AL8)/365)&lt;=5,"Actualizado","Desactualizado")</f>
        <v>Desactualizado</v>
      </c>
      <c r="AN8" s="190">
        <f>+M8</f>
        <v>0</v>
      </c>
      <c r="AO8" s="193">
        <f ca="1">(AN8-TODAY())/30</f>
        <v>-1505.5666666666666</v>
      </c>
      <c r="AP8" s="195" t="str">
        <f ca="1">IF(AO8&gt;6,"Vigente",IF(AND(AO8&gt;=3,AO8&lt;=6),"Pendiente por vencer",IF(AND(AO8&gt;=1,AO8&lt;=3),"Proxima a vencer","Vencida")))</f>
        <v>Vencida</v>
      </c>
    </row>
    <row r="9" spans="1:42" s="136" customFormat="1" ht="20.25" x14ac:dyDescent="0.3">
      <c r="A9" s="147">
        <v>2</v>
      </c>
      <c r="B9" s="148"/>
      <c r="C9" s="149"/>
      <c r="D9" s="149"/>
      <c r="E9" s="141"/>
      <c r="F9" s="141"/>
      <c r="G9" s="141"/>
      <c r="H9" s="150"/>
      <c r="I9" s="154"/>
      <c r="J9" s="148"/>
      <c r="K9" s="148"/>
      <c r="L9" s="148"/>
      <c r="M9" s="151"/>
      <c r="N9" s="149"/>
      <c r="O9" s="149"/>
      <c r="P9" s="141"/>
      <c r="Q9" s="141"/>
      <c r="R9" s="147"/>
      <c r="S9" s="147"/>
      <c r="T9" s="147"/>
      <c r="U9" s="147"/>
      <c r="V9" s="141"/>
      <c r="W9" s="147"/>
      <c r="X9" s="147"/>
      <c r="Y9" s="141"/>
      <c r="Z9" s="141"/>
      <c r="AA9" s="141"/>
      <c r="AB9" s="141"/>
      <c r="AC9" s="141"/>
      <c r="AD9" s="141"/>
      <c r="AE9" s="155"/>
      <c r="AF9" s="155"/>
      <c r="AG9" s="141"/>
      <c r="AH9" s="141"/>
      <c r="AI9" s="141"/>
      <c r="AJ9" s="141"/>
      <c r="AK9" s="147"/>
      <c r="AL9" s="161"/>
      <c r="AM9" s="141" t="str">
        <f t="shared" ref="AM9:AM71" ca="1" si="0">IF(((TODAY()-AL9)/365)&lt;=5,"Actualizado","Desactualizado")</f>
        <v>Desactualizado</v>
      </c>
      <c r="AN9" s="190">
        <f t="shared" ref="AN9:AN72" si="1">+M9</f>
        <v>0</v>
      </c>
      <c r="AO9" s="193">
        <f t="shared" ref="AO9:AO72" ca="1" si="2">(AN9-TODAY())/30</f>
        <v>-1505.5666666666666</v>
      </c>
      <c r="AP9" s="195" t="str">
        <f ca="1">IF(AO9&gt;6,"Vigente",IF(AND(AO9&gt;=3,AO9&lt;=6),"Pendiente por vencer",IF(AND(AO9&gt;=1,AO9&lt;=3),"Proxima a vencer","Vencida")))</f>
        <v>Vencida</v>
      </c>
    </row>
    <row r="10" spans="1:42" s="136" customFormat="1" ht="21.75" customHeight="1" x14ac:dyDescent="0.3">
      <c r="A10" s="147">
        <v>3</v>
      </c>
      <c r="B10" s="148"/>
      <c r="C10" s="149"/>
      <c r="D10" s="149"/>
      <c r="E10" s="141"/>
      <c r="F10" s="141"/>
      <c r="G10" s="141"/>
      <c r="H10" s="150"/>
      <c r="I10" s="148"/>
      <c r="J10" s="156"/>
      <c r="K10" s="148"/>
      <c r="L10" s="148"/>
      <c r="M10" s="151"/>
      <c r="N10" s="149"/>
      <c r="O10" s="149"/>
      <c r="P10" s="141"/>
      <c r="Q10" s="147"/>
      <c r="R10" s="147"/>
      <c r="S10" s="147"/>
      <c r="T10" s="147"/>
      <c r="U10" s="147"/>
      <c r="V10" s="141"/>
      <c r="W10" s="147"/>
      <c r="X10" s="147"/>
      <c r="Y10" s="141"/>
      <c r="Z10" s="141"/>
      <c r="AA10" s="141"/>
      <c r="AB10" s="141"/>
      <c r="AC10" s="141"/>
      <c r="AD10" s="141"/>
      <c r="AE10" s="155"/>
      <c r="AF10" s="155"/>
      <c r="AG10" s="141"/>
      <c r="AH10" s="141"/>
      <c r="AI10" s="141"/>
      <c r="AJ10" s="141"/>
      <c r="AK10" s="147"/>
      <c r="AL10" s="161"/>
      <c r="AM10" s="141" t="str">
        <f t="shared" ca="1" si="0"/>
        <v>Desactualizado</v>
      </c>
      <c r="AN10" s="190">
        <f t="shared" si="1"/>
        <v>0</v>
      </c>
      <c r="AO10" s="193">
        <f t="shared" ca="1" si="2"/>
        <v>-1505.5666666666666</v>
      </c>
      <c r="AP10" s="195" t="str">
        <f t="shared" ref="AP10:AP73" ca="1" si="3">IF(AO10&gt;6,"Vigente",IF(AND(AO10&gt;=3,AO10&lt;=6),"Pendiente por vencer",IF(AND(AO10&gt;=1,AO10&lt;=3),"Proxima a vencer","Vencida")))</f>
        <v>Vencida</v>
      </c>
    </row>
    <row r="11" spans="1:42" s="136" customFormat="1" ht="33" customHeight="1" x14ac:dyDescent="0.3">
      <c r="A11" s="147">
        <v>4</v>
      </c>
      <c r="B11" s="148"/>
      <c r="C11" s="149"/>
      <c r="D11" s="149"/>
      <c r="E11" s="141"/>
      <c r="F11" s="141"/>
      <c r="G11" s="141"/>
      <c r="H11" s="150"/>
      <c r="I11" s="156"/>
      <c r="J11" s="148"/>
      <c r="K11" s="148"/>
      <c r="L11" s="148"/>
      <c r="M11" s="151"/>
      <c r="N11" s="149"/>
      <c r="O11" s="149"/>
      <c r="P11" s="141"/>
      <c r="Q11" s="147"/>
      <c r="R11" s="147"/>
      <c r="S11" s="147"/>
      <c r="T11" s="147"/>
      <c r="U11" s="147"/>
      <c r="V11" s="141"/>
      <c r="W11" s="147"/>
      <c r="X11" s="147"/>
      <c r="Y11" s="141"/>
      <c r="Z11" s="141"/>
      <c r="AA11" s="141"/>
      <c r="AB11" s="141"/>
      <c r="AC11" s="141"/>
      <c r="AD11" s="141"/>
      <c r="AE11" s="155"/>
      <c r="AF11" s="155"/>
      <c r="AG11" s="141"/>
      <c r="AH11" s="141"/>
      <c r="AI11" s="141"/>
      <c r="AJ11" s="141"/>
      <c r="AK11" s="147"/>
      <c r="AL11" s="161"/>
      <c r="AM11" s="141" t="str">
        <f t="shared" ca="1" si="0"/>
        <v>Desactualizado</v>
      </c>
      <c r="AN11" s="190">
        <f t="shared" si="1"/>
        <v>0</v>
      </c>
      <c r="AO11" s="193">
        <f t="shared" ca="1" si="2"/>
        <v>-1505.5666666666666</v>
      </c>
      <c r="AP11" s="195" t="str">
        <f t="shared" ca="1" si="3"/>
        <v>Vencida</v>
      </c>
    </row>
    <row r="12" spans="1:42" s="136" customFormat="1" ht="20.25" x14ac:dyDescent="0.3">
      <c r="A12" s="147">
        <v>5</v>
      </c>
      <c r="B12" s="148"/>
      <c r="C12" s="157"/>
      <c r="D12" s="157"/>
      <c r="E12" s="141"/>
      <c r="F12" s="141"/>
      <c r="G12" s="141"/>
      <c r="H12" s="150"/>
      <c r="I12" s="148"/>
      <c r="J12" s="156"/>
      <c r="K12" s="148"/>
      <c r="L12" s="148"/>
      <c r="M12" s="151"/>
      <c r="N12" s="149"/>
      <c r="O12" s="149"/>
      <c r="P12" s="141"/>
      <c r="Q12" s="147"/>
      <c r="R12" s="147"/>
      <c r="S12" s="147"/>
      <c r="T12" s="147"/>
      <c r="U12" s="147"/>
      <c r="V12" s="141"/>
      <c r="W12" s="147"/>
      <c r="X12" s="147"/>
      <c r="Y12" s="141"/>
      <c r="Z12" s="141"/>
      <c r="AA12" s="141"/>
      <c r="AB12" s="141"/>
      <c r="AC12" s="141"/>
      <c r="AD12" s="141"/>
      <c r="AE12" s="153"/>
      <c r="AF12" s="155"/>
      <c r="AG12" s="141"/>
      <c r="AH12" s="141"/>
      <c r="AI12" s="141"/>
      <c r="AJ12" s="141"/>
      <c r="AK12" s="147"/>
      <c r="AL12" s="161"/>
      <c r="AM12" s="141" t="str">
        <f t="shared" ca="1" si="0"/>
        <v>Desactualizado</v>
      </c>
      <c r="AN12" s="190">
        <f t="shared" si="1"/>
        <v>0</v>
      </c>
      <c r="AO12" s="193">
        <f t="shared" ca="1" si="2"/>
        <v>-1505.5666666666666</v>
      </c>
      <c r="AP12" s="195" t="str">
        <f t="shared" ca="1" si="3"/>
        <v>Vencida</v>
      </c>
    </row>
    <row r="13" spans="1:42" s="136" customFormat="1" ht="20.25" x14ac:dyDescent="0.3">
      <c r="A13" s="147">
        <v>6</v>
      </c>
      <c r="B13" s="148"/>
      <c r="C13" s="149"/>
      <c r="D13" s="149"/>
      <c r="E13" s="141"/>
      <c r="F13" s="141"/>
      <c r="G13" s="141"/>
      <c r="H13" s="150"/>
      <c r="I13" s="148"/>
      <c r="J13" s="148"/>
      <c r="K13" s="148"/>
      <c r="L13" s="148"/>
      <c r="M13" s="151"/>
      <c r="N13" s="149"/>
      <c r="O13" s="149"/>
      <c r="P13" s="141"/>
      <c r="Q13" s="147"/>
      <c r="R13" s="147"/>
      <c r="S13" s="147"/>
      <c r="T13" s="147"/>
      <c r="U13" s="147"/>
      <c r="V13" s="141"/>
      <c r="W13" s="147"/>
      <c r="X13" s="147"/>
      <c r="Y13" s="141"/>
      <c r="Z13" s="141"/>
      <c r="AA13" s="141"/>
      <c r="AB13" s="141"/>
      <c r="AC13" s="141"/>
      <c r="AD13" s="141"/>
      <c r="AE13" s="155"/>
      <c r="AF13" s="155"/>
      <c r="AG13" s="141"/>
      <c r="AH13" s="141"/>
      <c r="AI13" s="141"/>
      <c r="AJ13" s="141"/>
      <c r="AK13" s="147"/>
      <c r="AL13" s="161"/>
      <c r="AM13" s="141" t="str">
        <f t="shared" ca="1" si="0"/>
        <v>Desactualizado</v>
      </c>
      <c r="AN13" s="190">
        <f t="shared" si="1"/>
        <v>0</v>
      </c>
      <c r="AO13" s="193">
        <f t="shared" ca="1" si="2"/>
        <v>-1505.5666666666666</v>
      </c>
      <c r="AP13" s="195" t="str">
        <f t="shared" ca="1" si="3"/>
        <v>Vencida</v>
      </c>
    </row>
    <row r="14" spans="1:42" s="137" customFormat="1" ht="20.25" x14ac:dyDescent="0.3">
      <c r="A14" s="147">
        <v>7</v>
      </c>
      <c r="B14" s="148"/>
      <c r="C14" s="149"/>
      <c r="D14" s="149"/>
      <c r="E14" s="141"/>
      <c r="F14" s="141"/>
      <c r="G14" s="141"/>
      <c r="H14" s="150"/>
      <c r="I14" s="148"/>
      <c r="J14" s="148"/>
      <c r="K14" s="148"/>
      <c r="L14" s="148"/>
      <c r="M14" s="151"/>
      <c r="N14" s="149"/>
      <c r="O14" s="149"/>
      <c r="P14" s="141"/>
      <c r="Q14" s="147"/>
      <c r="R14" s="147"/>
      <c r="S14" s="147"/>
      <c r="T14" s="147"/>
      <c r="U14" s="147"/>
      <c r="V14" s="149"/>
      <c r="W14" s="147"/>
      <c r="X14" s="147"/>
      <c r="Y14" s="141"/>
      <c r="Z14" s="141"/>
      <c r="AA14" s="141"/>
      <c r="AB14" s="141"/>
      <c r="AC14" s="141"/>
      <c r="AD14" s="141"/>
      <c r="AE14" s="155"/>
      <c r="AF14" s="155"/>
      <c r="AG14" s="141"/>
      <c r="AH14" s="141"/>
      <c r="AI14" s="141"/>
      <c r="AJ14" s="141"/>
      <c r="AK14" s="147"/>
      <c r="AL14" s="161"/>
      <c r="AM14" s="141" t="str">
        <f t="shared" ca="1" si="0"/>
        <v>Desactualizado</v>
      </c>
      <c r="AN14" s="190">
        <f t="shared" si="1"/>
        <v>0</v>
      </c>
      <c r="AO14" s="193">
        <f t="shared" ca="1" si="2"/>
        <v>-1505.5666666666666</v>
      </c>
      <c r="AP14" s="195" t="str">
        <f t="shared" ca="1" si="3"/>
        <v>Vencida</v>
      </c>
    </row>
    <row r="15" spans="1:42" s="136" customFormat="1" ht="21.75" customHeight="1" x14ac:dyDescent="0.3">
      <c r="A15" s="147">
        <v>8</v>
      </c>
      <c r="B15" s="148"/>
      <c r="C15" s="149"/>
      <c r="D15" s="149"/>
      <c r="E15" s="141"/>
      <c r="F15" s="141"/>
      <c r="G15" s="141"/>
      <c r="H15" s="150"/>
      <c r="I15" s="141"/>
      <c r="J15" s="148"/>
      <c r="K15" s="148"/>
      <c r="L15" s="148"/>
      <c r="M15" s="151"/>
      <c r="N15" s="149"/>
      <c r="O15" s="149"/>
      <c r="P15" s="141"/>
      <c r="Q15" s="147"/>
      <c r="R15" s="147"/>
      <c r="S15" s="147"/>
      <c r="T15" s="147"/>
      <c r="U15" s="147"/>
      <c r="V15" s="148"/>
      <c r="W15" s="147"/>
      <c r="X15" s="147"/>
      <c r="Y15" s="141"/>
      <c r="Z15" s="141"/>
      <c r="AA15" s="141"/>
      <c r="AB15" s="141"/>
      <c r="AC15" s="141"/>
      <c r="AD15" s="148"/>
      <c r="AE15" s="153"/>
      <c r="AF15" s="155"/>
      <c r="AG15" s="141"/>
      <c r="AH15" s="141"/>
      <c r="AI15" s="141"/>
      <c r="AJ15" s="141"/>
      <c r="AK15" s="147"/>
      <c r="AL15" s="161"/>
      <c r="AM15" s="141" t="str">
        <f t="shared" ca="1" si="0"/>
        <v>Desactualizado</v>
      </c>
      <c r="AN15" s="190">
        <f t="shared" si="1"/>
        <v>0</v>
      </c>
      <c r="AO15" s="193">
        <f t="shared" ca="1" si="2"/>
        <v>-1505.5666666666666</v>
      </c>
      <c r="AP15" s="195" t="str">
        <f t="shared" ca="1" si="3"/>
        <v>Vencida</v>
      </c>
    </row>
    <row r="16" spans="1:42" s="136" customFormat="1" ht="33.75" customHeight="1" x14ac:dyDescent="0.3">
      <c r="A16" s="147">
        <v>9</v>
      </c>
      <c r="B16" s="148"/>
      <c r="C16" s="149"/>
      <c r="D16" s="149"/>
      <c r="E16" s="141"/>
      <c r="F16" s="141"/>
      <c r="G16" s="141"/>
      <c r="H16" s="150"/>
      <c r="I16" s="141"/>
      <c r="J16" s="159"/>
      <c r="K16" s="148"/>
      <c r="L16" s="159"/>
      <c r="M16" s="151"/>
      <c r="N16" s="149"/>
      <c r="O16" s="149"/>
      <c r="P16" s="141"/>
      <c r="Q16" s="147"/>
      <c r="R16" s="147"/>
      <c r="S16" s="147"/>
      <c r="T16" s="147"/>
      <c r="U16" s="147"/>
      <c r="V16" s="141"/>
      <c r="W16" s="147"/>
      <c r="X16" s="147"/>
      <c r="Y16" s="141"/>
      <c r="Z16" s="141"/>
      <c r="AA16" s="141"/>
      <c r="AB16" s="141"/>
      <c r="AC16" s="141"/>
      <c r="AD16" s="148"/>
      <c r="AE16" s="153"/>
      <c r="AF16" s="153"/>
      <c r="AG16" s="141"/>
      <c r="AH16" s="141"/>
      <c r="AI16" s="141"/>
      <c r="AJ16" s="141"/>
      <c r="AK16" s="147"/>
      <c r="AL16" s="161"/>
      <c r="AM16" s="141" t="str">
        <f t="shared" ca="1" si="0"/>
        <v>Desactualizado</v>
      </c>
      <c r="AN16" s="190">
        <f t="shared" si="1"/>
        <v>0</v>
      </c>
      <c r="AO16" s="193">
        <f t="shared" ca="1" si="2"/>
        <v>-1505.5666666666666</v>
      </c>
      <c r="AP16" s="195" t="str">
        <f t="shared" ca="1" si="3"/>
        <v>Vencida</v>
      </c>
    </row>
    <row r="17" spans="1:42" s="136" customFormat="1" ht="29.25" customHeight="1" x14ac:dyDescent="0.3">
      <c r="A17" s="147">
        <v>10</v>
      </c>
      <c r="B17" s="148"/>
      <c r="C17" s="149"/>
      <c r="D17" s="149"/>
      <c r="E17" s="141"/>
      <c r="F17" s="141"/>
      <c r="G17" s="141"/>
      <c r="H17" s="150"/>
      <c r="I17" s="141"/>
      <c r="J17" s="148"/>
      <c r="K17" s="148"/>
      <c r="L17" s="148"/>
      <c r="M17" s="151"/>
      <c r="N17" s="149"/>
      <c r="O17" s="149"/>
      <c r="P17" s="141"/>
      <c r="Q17" s="147"/>
      <c r="R17" s="147"/>
      <c r="S17" s="147"/>
      <c r="T17" s="147"/>
      <c r="U17" s="147"/>
      <c r="V17" s="141"/>
      <c r="W17" s="147"/>
      <c r="X17" s="147"/>
      <c r="Y17" s="141"/>
      <c r="Z17" s="141"/>
      <c r="AA17" s="141"/>
      <c r="AB17" s="141"/>
      <c r="AC17" s="141"/>
      <c r="AD17" s="148"/>
      <c r="AE17" s="153"/>
      <c r="AF17" s="153"/>
      <c r="AG17" s="141"/>
      <c r="AH17" s="141"/>
      <c r="AI17" s="141"/>
      <c r="AJ17" s="141"/>
      <c r="AK17" s="147"/>
      <c r="AL17" s="161"/>
      <c r="AM17" s="141" t="str">
        <f t="shared" ca="1" si="0"/>
        <v>Desactualizado</v>
      </c>
      <c r="AN17" s="190">
        <f t="shared" si="1"/>
        <v>0</v>
      </c>
      <c r="AO17" s="193">
        <f t="shared" ca="1" si="2"/>
        <v>-1505.5666666666666</v>
      </c>
      <c r="AP17" s="195" t="str">
        <f t="shared" ca="1" si="3"/>
        <v>Vencida</v>
      </c>
    </row>
    <row r="18" spans="1:42" s="136" customFormat="1" ht="21.75" customHeight="1" x14ac:dyDescent="0.3">
      <c r="A18" s="147">
        <v>11</v>
      </c>
      <c r="B18" s="148"/>
      <c r="C18" s="149"/>
      <c r="D18" s="149"/>
      <c r="E18" s="141"/>
      <c r="F18" s="141"/>
      <c r="G18" s="141"/>
      <c r="H18" s="150"/>
      <c r="I18" s="141"/>
      <c r="J18" s="148"/>
      <c r="K18" s="148"/>
      <c r="L18" s="148"/>
      <c r="M18" s="151"/>
      <c r="N18" s="149"/>
      <c r="O18" s="149"/>
      <c r="P18" s="141"/>
      <c r="Q18" s="147"/>
      <c r="R18" s="147"/>
      <c r="S18" s="147"/>
      <c r="T18" s="147"/>
      <c r="U18" s="147"/>
      <c r="V18" s="141"/>
      <c r="W18" s="147"/>
      <c r="X18" s="147"/>
      <c r="Y18" s="141"/>
      <c r="Z18" s="141"/>
      <c r="AA18" s="141"/>
      <c r="AB18" s="141"/>
      <c r="AC18" s="141"/>
      <c r="AD18" s="148"/>
      <c r="AE18" s="153"/>
      <c r="AF18" s="153"/>
      <c r="AG18" s="141"/>
      <c r="AH18" s="141"/>
      <c r="AI18" s="141"/>
      <c r="AJ18" s="141"/>
      <c r="AK18" s="147"/>
      <c r="AL18" s="161"/>
      <c r="AM18" s="141" t="str">
        <f t="shared" ca="1" si="0"/>
        <v>Desactualizado</v>
      </c>
      <c r="AN18" s="190">
        <f t="shared" si="1"/>
        <v>0</v>
      </c>
      <c r="AO18" s="193">
        <f t="shared" ca="1" si="2"/>
        <v>-1505.5666666666666</v>
      </c>
      <c r="AP18" s="195" t="str">
        <f t="shared" ca="1" si="3"/>
        <v>Vencida</v>
      </c>
    </row>
    <row r="19" spans="1:42" s="136" customFormat="1" ht="21.75" customHeight="1" x14ac:dyDescent="0.3">
      <c r="A19" s="147">
        <v>12</v>
      </c>
      <c r="B19" s="148"/>
      <c r="C19" s="149"/>
      <c r="D19" s="149"/>
      <c r="E19" s="141"/>
      <c r="F19" s="141"/>
      <c r="G19" s="141"/>
      <c r="H19" s="150"/>
      <c r="I19" s="159"/>
      <c r="J19" s="159"/>
      <c r="K19" s="148"/>
      <c r="L19" s="159"/>
      <c r="M19" s="151"/>
      <c r="N19" s="149"/>
      <c r="O19" s="149"/>
      <c r="P19" s="141"/>
      <c r="Q19" s="147"/>
      <c r="R19" s="147"/>
      <c r="S19" s="147"/>
      <c r="T19" s="147"/>
      <c r="U19" s="147"/>
      <c r="V19" s="148"/>
      <c r="W19" s="147"/>
      <c r="X19" s="147"/>
      <c r="Y19" s="141"/>
      <c r="Z19" s="141"/>
      <c r="AA19" s="141"/>
      <c r="AB19" s="141"/>
      <c r="AC19" s="141"/>
      <c r="AD19" s="148"/>
      <c r="AE19" s="153"/>
      <c r="AF19" s="153"/>
      <c r="AG19" s="141"/>
      <c r="AH19" s="141"/>
      <c r="AI19" s="141"/>
      <c r="AJ19" s="141"/>
      <c r="AK19" s="147"/>
      <c r="AL19" s="161"/>
      <c r="AM19" s="141" t="str">
        <f t="shared" ca="1" si="0"/>
        <v>Desactualizado</v>
      </c>
      <c r="AN19" s="190">
        <f t="shared" si="1"/>
        <v>0</v>
      </c>
      <c r="AO19" s="193">
        <f t="shared" ca="1" si="2"/>
        <v>-1505.5666666666666</v>
      </c>
      <c r="AP19" s="195" t="str">
        <f t="shared" ca="1" si="3"/>
        <v>Vencida</v>
      </c>
    </row>
    <row r="20" spans="1:42" s="136" customFormat="1" ht="42" customHeight="1" x14ac:dyDescent="0.3">
      <c r="A20" s="147">
        <v>13</v>
      </c>
      <c r="B20" s="148"/>
      <c r="C20" s="149"/>
      <c r="D20" s="149"/>
      <c r="E20" s="141"/>
      <c r="F20" s="141"/>
      <c r="G20" s="141"/>
      <c r="H20" s="150"/>
      <c r="I20" s="141"/>
      <c r="J20" s="148"/>
      <c r="K20" s="148"/>
      <c r="L20" s="148"/>
      <c r="M20" s="151"/>
      <c r="N20" s="149"/>
      <c r="O20" s="149"/>
      <c r="P20" s="141"/>
      <c r="Q20" s="147"/>
      <c r="R20" s="147"/>
      <c r="S20" s="147"/>
      <c r="T20" s="147"/>
      <c r="U20" s="147"/>
      <c r="V20" s="148"/>
      <c r="W20" s="147"/>
      <c r="X20" s="147"/>
      <c r="Y20" s="141"/>
      <c r="Z20" s="141"/>
      <c r="AA20" s="141"/>
      <c r="AB20" s="141"/>
      <c r="AC20" s="141"/>
      <c r="AD20" s="148"/>
      <c r="AE20" s="153"/>
      <c r="AF20" s="153"/>
      <c r="AG20" s="141"/>
      <c r="AH20" s="141"/>
      <c r="AI20" s="141"/>
      <c r="AJ20" s="141"/>
      <c r="AK20" s="147"/>
      <c r="AL20" s="161"/>
      <c r="AM20" s="141" t="str">
        <f t="shared" ca="1" si="0"/>
        <v>Desactualizado</v>
      </c>
      <c r="AN20" s="190">
        <f t="shared" si="1"/>
        <v>0</v>
      </c>
      <c r="AO20" s="193">
        <f t="shared" ca="1" si="2"/>
        <v>-1505.5666666666666</v>
      </c>
      <c r="AP20" s="195" t="str">
        <f t="shared" ca="1" si="3"/>
        <v>Vencida</v>
      </c>
    </row>
    <row r="21" spans="1:42" s="136" customFormat="1" ht="20.25" x14ac:dyDescent="0.3">
      <c r="A21" s="147">
        <v>14</v>
      </c>
      <c r="B21" s="148"/>
      <c r="C21" s="149"/>
      <c r="D21" s="149"/>
      <c r="E21" s="141"/>
      <c r="F21" s="141"/>
      <c r="G21" s="141"/>
      <c r="H21" s="150"/>
      <c r="I21" s="159"/>
      <c r="J21" s="159"/>
      <c r="K21" s="148"/>
      <c r="L21" s="159"/>
      <c r="M21" s="151"/>
      <c r="N21" s="149"/>
      <c r="O21" s="149"/>
      <c r="P21" s="141"/>
      <c r="Q21" s="147"/>
      <c r="R21" s="147"/>
      <c r="S21" s="147"/>
      <c r="T21" s="147"/>
      <c r="U21" s="147"/>
      <c r="V21" s="141"/>
      <c r="W21" s="147"/>
      <c r="X21" s="147"/>
      <c r="Y21" s="141"/>
      <c r="Z21" s="141"/>
      <c r="AA21" s="141"/>
      <c r="AB21" s="141"/>
      <c r="AC21" s="141"/>
      <c r="AD21" s="148"/>
      <c r="AE21" s="160"/>
      <c r="AF21" s="160"/>
      <c r="AG21" s="141"/>
      <c r="AH21" s="141"/>
      <c r="AI21" s="141"/>
      <c r="AJ21" s="141"/>
      <c r="AK21" s="147"/>
      <c r="AL21" s="161"/>
      <c r="AM21" s="141" t="str">
        <f t="shared" ca="1" si="0"/>
        <v>Desactualizado</v>
      </c>
      <c r="AN21" s="190">
        <f t="shared" si="1"/>
        <v>0</v>
      </c>
      <c r="AO21" s="193">
        <f t="shared" ca="1" si="2"/>
        <v>-1505.5666666666666</v>
      </c>
      <c r="AP21" s="195" t="str">
        <f t="shared" ca="1" si="3"/>
        <v>Vencida</v>
      </c>
    </row>
    <row r="22" spans="1:42" s="136" customFormat="1" ht="20.25" x14ac:dyDescent="0.3">
      <c r="A22" s="147">
        <v>15</v>
      </c>
      <c r="B22" s="148"/>
      <c r="C22" s="149"/>
      <c r="D22" s="149"/>
      <c r="E22" s="141"/>
      <c r="F22" s="141"/>
      <c r="G22" s="141"/>
      <c r="H22" s="150"/>
      <c r="I22" s="159"/>
      <c r="J22" s="159"/>
      <c r="K22" s="148"/>
      <c r="L22" s="159"/>
      <c r="M22" s="151"/>
      <c r="N22" s="149"/>
      <c r="O22" s="149"/>
      <c r="P22" s="141"/>
      <c r="Q22" s="147"/>
      <c r="R22" s="147"/>
      <c r="S22" s="147"/>
      <c r="T22" s="147"/>
      <c r="U22" s="147"/>
      <c r="V22" s="141"/>
      <c r="W22" s="147"/>
      <c r="X22" s="147"/>
      <c r="Y22" s="141"/>
      <c r="Z22" s="141"/>
      <c r="AA22" s="141"/>
      <c r="AB22" s="141"/>
      <c r="AC22" s="141"/>
      <c r="AD22" s="148"/>
      <c r="AE22" s="153"/>
      <c r="AF22" s="153"/>
      <c r="AG22" s="141"/>
      <c r="AH22" s="141"/>
      <c r="AI22" s="141"/>
      <c r="AJ22" s="141"/>
      <c r="AK22" s="147"/>
      <c r="AL22" s="161"/>
      <c r="AM22" s="141" t="str">
        <f t="shared" ca="1" si="0"/>
        <v>Desactualizado</v>
      </c>
      <c r="AN22" s="190">
        <f t="shared" si="1"/>
        <v>0</v>
      </c>
      <c r="AO22" s="193">
        <f t="shared" ca="1" si="2"/>
        <v>-1505.5666666666666</v>
      </c>
      <c r="AP22" s="195" t="str">
        <f t="shared" ca="1" si="3"/>
        <v>Vencida</v>
      </c>
    </row>
    <row r="23" spans="1:42" s="136" customFormat="1" ht="20.25" x14ac:dyDescent="0.3">
      <c r="A23" s="147">
        <v>16</v>
      </c>
      <c r="B23" s="148"/>
      <c r="C23" s="149"/>
      <c r="D23" s="149"/>
      <c r="E23" s="141"/>
      <c r="F23" s="141"/>
      <c r="G23" s="141"/>
      <c r="H23" s="150"/>
      <c r="I23" s="141"/>
      <c r="J23" s="148"/>
      <c r="K23" s="148"/>
      <c r="L23" s="148"/>
      <c r="M23" s="151"/>
      <c r="N23" s="149"/>
      <c r="O23" s="149"/>
      <c r="P23" s="141"/>
      <c r="Q23" s="147"/>
      <c r="R23" s="147"/>
      <c r="S23" s="147"/>
      <c r="T23" s="147"/>
      <c r="U23" s="147"/>
      <c r="V23" s="148"/>
      <c r="W23" s="147"/>
      <c r="X23" s="147"/>
      <c r="Y23" s="141"/>
      <c r="Z23" s="141"/>
      <c r="AA23" s="141"/>
      <c r="AB23" s="141"/>
      <c r="AC23" s="141"/>
      <c r="AD23" s="148"/>
      <c r="AE23" s="153"/>
      <c r="AF23" s="153"/>
      <c r="AG23" s="141"/>
      <c r="AH23" s="141"/>
      <c r="AI23" s="141"/>
      <c r="AJ23" s="141"/>
      <c r="AK23" s="147"/>
      <c r="AL23" s="161"/>
      <c r="AM23" s="141" t="str">
        <f t="shared" ca="1" si="0"/>
        <v>Desactualizado</v>
      </c>
      <c r="AN23" s="190">
        <f t="shared" si="1"/>
        <v>0</v>
      </c>
      <c r="AO23" s="193">
        <f t="shared" ca="1" si="2"/>
        <v>-1505.5666666666666</v>
      </c>
      <c r="AP23" s="195" t="str">
        <f t="shared" ca="1" si="3"/>
        <v>Vencida</v>
      </c>
    </row>
    <row r="24" spans="1:42" s="136" customFormat="1" ht="20.25" x14ac:dyDescent="0.3">
      <c r="A24" s="147">
        <v>17</v>
      </c>
      <c r="B24" s="148"/>
      <c r="C24" s="149"/>
      <c r="D24" s="149"/>
      <c r="E24" s="141"/>
      <c r="F24" s="141"/>
      <c r="G24" s="141"/>
      <c r="H24" s="150"/>
      <c r="I24" s="141"/>
      <c r="J24" s="148"/>
      <c r="K24" s="148"/>
      <c r="L24" s="148"/>
      <c r="M24" s="151"/>
      <c r="N24" s="149"/>
      <c r="O24" s="149"/>
      <c r="P24" s="141"/>
      <c r="Q24" s="147"/>
      <c r="R24" s="147"/>
      <c r="S24" s="147"/>
      <c r="T24" s="147"/>
      <c r="U24" s="147"/>
      <c r="V24" s="141"/>
      <c r="W24" s="147"/>
      <c r="X24" s="147"/>
      <c r="Y24" s="141"/>
      <c r="Z24" s="141"/>
      <c r="AA24" s="141"/>
      <c r="AB24" s="141"/>
      <c r="AC24" s="141"/>
      <c r="AD24" s="148"/>
      <c r="AE24" s="153"/>
      <c r="AF24" s="153"/>
      <c r="AG24" s="141"/>
      <c r="AH24" s="141"/>
      <c r="AI24" s="141"/>
      <c r="AJ24" s="141"/>
      <c r="AK24" s="147"/>
      <c r="AL24" s="161"/>
      <c r="AM24" s="141" t="str">
        <f t="shared" ca="1" si="0"/>
        <v>Desactualizado</v>
      </c>
      <c r="AN24" s="190">
        <f t="shared" si="1"/>
        <v>0</v>
      </c>
      <c r="AO24" s="193">
        <f t="shared" ca="1" si="2"/>
        <v>-1505.5666666666666</v>
      </c>
      <c r="AP24" s="195" t="str">
        <f t="shared" ca="1" si="3"/>
        <v>Vencida</v>
      </c>
    </row>
    <row r="25" spans="1:42" s="136" customFormat="1" ht="20.25" x14ac:dyDescent="0.3">
      <c r="A25" s="147">
        <v>18</v>
      </c>
      <c r="B25" s="148"/>
      <c r="C25" s="149"/>
      <c r="D25" s="149"/>
      <c r="E25" s="141"/>
      <c r="F25" s="141"/>
      <c r="G25" s="141"/>
      <c r="H25" s="150"/>
      <c r="I25" s="141"/>
      <c r="J25" s="148"/>
      <c r="K25" s="148"/>
      <c r="L25" s="148"/>
      <c r="M25" s="151"/>
      <c r="N25" s="149"/>
      <c r="O25" s="149"/>
      <c r="P25" s="141"/>
      <c r="Q25" s="147"/>
      <c r="R25" s="147"/>
      <c r="S25" s="147"/>
      <c r="T25" s="147"/>
      <c r="U25" s="147"/>
      <c r="V25" s="148"/>
      <c r="W25" s="147"/>
      <c r="X25" s="147"/>
      <c r="Y25" s="141"/>
      <c r="Z25" s="141"/>
      <c r="AA25" s="141"/>
      <c r="AB25" s="141"/>
      <c r="AC25" s="141"/>
      <c r="AD25" s="148"/>
      <c r="AE25" s="153"/>
      <c r="AF25" s="153"/>
      <c r="AG25" s="141"/>
      <c r="AH25" s="141"/>
      <c r="AI25" s="141"/>
      <c r="AJ25" s="141"/>
      <c r="AK25" s="147"/>
      <c r="AL25" s="161"/>
      <c r="AM25" s="141" t="str">
        <f t="shared" ca="1" si="0"/>
        <v>Desactualizado</v>
      </c>
      <c r="AN25" s="190">
        <f t="shared" si="1"/>
        <v>0</v>
      </c>
      <c r="AO25" s="193">
        <f t="shared" ca="1" si="2"/>
        <v>-1505.5666666666666</v>
      </c>
      <c r="AP25" s="195" t="str">
        <f t="shared" ca="1" si="3"/>
        <v>Vencida</v>
      </c>
    </row>
    <row r="26" spans="1:42" s="136" customFormat="1" ht="20.25" x14ac:dyDescent="0.3">
      <c r="A26" s="147">
        <v>19</v>
      </c>
      <c r="B26" s="148"/>
      <c r="C26" s="149"/>
      <c r="D26" s="149"/>
      <c r="E26" s="141"/>
      <c r="F26" s="141"/>
      <c r="G26" s="141"/>
      <c r="H26" s="150"/>
      <c r="I26" s="148"/>
      <c r="J26" s="148"/>
      <c r="K26" s="148"/>
      <c r="L26" s="148"/>
      <c r="M26" s="151"/>
      <c r="N26" s="149"/>
      <c r="O26" s="149"/>
      <c r="P26" s="141"/>
      <c r="Q26" s="141"/>
      <c r="R26" s="147"/>
      <c r="S26" s="147"/>
      <c r="T26" s="147"/>
      <c r="U26" s="147"/>
      <c r="V26" s="148"/>
      <c r="W26" s="147"/>
      <c r="X26" s="147"/>
      <c r="Y26" s="141"/>
      <c r="Z26" s="141"/>
      <c r="AA26" s="141"/>
      <c r="AB26" s="141"/>
      <c r="AC26" s="141"/>
      <c r="AD26" s="148"/>
      <c r="AE26" s="153"/>
      <c r="AF26" s="153"/>
      <c r="AG26" s="141"/>
      <c r="AH26" s="141"/>
      <c r="AI26" s="141"/>
      <c r="AJ26" s="141"/>
      <c r="AK26" s="147"/>
      <c r="AL26" s="161"/>
      <c r="AM26" s="141" t="str">
        <f t="shared" ca="1" si="0"/>
        <v>Desactualizado</v>
      </c>
      <c r="AN26" s="190">
        <f t="shared" si="1"/>
        <v>0</v>
      </c>
      <c r="AO26" s="193">
        <f t="shared" ca="1" si="2"/>
        <v>-1505.5666666666666</v>
      </c>
      <c r="AP26" s="195" t="str">
        <f t="shared" ca="1" si="3"/>
        <v>Vencida</v>
      </c>
    </row>
    <row r="27" spans="1:42" s="136" customFormat="1" ht="20.25" x14ac:dyDescent="0.3">
      <c r="A27" s="147">
        <v>20</v>
      </c>
      <c r="B27" s="148"/>
      <c r="C27" s="149"/>
      <c r="D27" s="149"/>
      <c r="E27" s="141"/>
      <c r="F27" s="141"/>
      <c r="G27" s="141"/>
      <c r="H27" s="150"/>
      <c r="I27" s="141"/>
      <c r="J27" s="148"/>
      <c r="K27" s="148"/>
      <c r="L27" s="148"/>
      <c r="M27" s="151"/>
      <c r="N27" s="149"/>
      <c r="O27" s="149"/>
      <c r="P27" s="141"/>
      <c r="Q27" s="147"/>
      <c r="R27" s="147"/>
      <c r="S27" s="147"/>
      <c r="T27" s="147"/>
      <c r="U27" s="147"/>
      <c r="V27" s="148"/>
      <c r="W27" s="147"/>
      <c r="X27" s="147"/>
      <c r="Y27" s="141"/>
      <c r="Z27" s="141"/>
      <c r="AA27" s="141"/>
      <c r="AB27" s="141"/>
      <c r="AC27" s="141"/>
      <c r="AD27" s="148"/>
      <c r="AE27" s="153"/>
      <c r="AF27" s="153"/>
      <c r="AG27" s="141"/>
      <c r="AH27" s="141"/>
      <c r="AI27" s="141"/>
      <c r="AJ27" s="141"/>
      <c r="AK27" s="147"/>
      <c r="AL27" s="161"/>
      <c r="AM27" s="141" t="str">
        <f t="shared" ca="1" si="0"/>
        <v>Desactualizado</v>
      </c>
      <c r="AN27" s="190">
        <f t="shared" si="1"/>
        <v>0</v>
      </c>
      <c r="AO27" s="193">
        <f t="shared" ca="1" si="2"/>
        <v>-1505.5666666666666</v>
      </c>
      <c r="AP27" s="195" t="str">
        <f t="shared" ca="1" si="3"/>
        <v>Vencida</v>
      </c>
    </row>
    <row r="28" spans="1:42" s="136" customFormat="1" ht="20.25" x14ac:dyDescent="0.3">
      <c r="A28" s="147">
        <v>21</v>
      </c>
      <c r="B28" s="148"/>
      <c r="C28" s="149"/>
      <c r="D28" s="149"/>
      <c r="E28" s="141"/>
      <c r="F28" s="141"/>
      <c r="G28" s="141"/>
      <c r="H28" s="150"/>
      <c r="I28" s="148"/>
      <c r="J28" s="148"/>
      <c r="K28" s="148"/>
      <c r="L28" s="148"/>
      <c r="M28" s="151"/>
      <c r="N28" s="149"/>
      <c r="O28" s="149"/>
      <c r="P28" s="141"/>
      <c r="Q28" s="147"/>
      <c r="R28" s="147"/>
      <c r="S28" s="147"/>
      <c r="T28" s="147"/>
      <c r="U28" s="147"/>
      <c r="V28" s="141"/>
      <c r="W28" s="147"/>
      <c r="X28" s="147"/>
      <c r="Y28" s="141"/>
      <c r="Z28" s="141"/>
      <c r="AA28" s="141"/>
      <c r="AB28" s="141"/>
      <c r="AC28" s="141"/>
      <c r="AD28" s="148"/>
      <c r="AE28" s="153"/>
      <c r="AF28" s="153"/>
      <c r="AG28" s="141"/>
      <c r="AH28" s="141"/>
      <c r="AI28" s="141"/>
      <c r="AJ28" s="141"/>
      <c r="AK28" s="147"/>
      <c r="AL28" s="161"/>
      <c r="AM28" s="141" t="str">
        <f t="shared" ca="1" si="0"/>
        <v>Desactualizado</v>
      </c>
      <c r="AN28" s="190">
        <f t="shared" si="1"/>
        <v>0</v>
      </c>
      <c r="AO28" s="193">
        <f t="shared" ca="1" si="2"/>
        <v>-1505.5666666666666</v>
      </c>
      <c r="AP28" s="195" t="str">
        <f t="shared" ca="1" si="3"/>
        <v>Vencida</v>
      </c>
    </row>
    <row r="29" spans="1:42" s="136" customFormat="1" ht="20.25" x14ac:dyDescent="0.3">
      <c r="A29" s="147">
        <v>22</v>
      </c>
      <c r="B29" s="148"/>
      <c r="C29" s="149"/>
      <c r="D29" s="149"/>
      <c r="E29" s="141"/>
      <c r="F29" s="141"/>
      <c r="G29" s="141"/>
      <c r="H29" s="150"/>
      <c r="I29" s="148"/>
      <c r="J29" s="148"/>
      <c r="K29" s="148"/>
      <c r="L29" s="148"/>
      <c r="M29" s="151"/>
      <c r="N29" s="149"/>
      <c r="O29" s="149"/>
      <c r="P29" s="141"/>
      <c r="Q29" s="147"/>
      <c r="R29" s="147"/>
      <c r="S29" s="147"/>
      <c r="T29" s="147"/>
      <c r="U29" s="147"/>
      <c r="V29" s="141"/>
      <c r="W29" s="147"/>
      <c r="X29" s="147"/>
      <c r="Y29" s="141"/>
      <c r="Z29" s="141"/>
      <c r="AA29" s="141"/>
      <c r="AB29" s="141"/>
      <c r="AC29" s="141"/>
      <c r="AD29" s="148"/>
      <c r="AE29" s="153"/>
      <c r="AF29" s="153"/>
      <c r="AG29" s="141"/>
      <c r="AH29" s="141"/>
      <c r="AI29" s="141"/>
      <c r="AJ29" s="141"/>
      <c r="AK29" s="147"/>
      <c r="AL29" s="161"/>
      <c r="AM29" s="141" t="str">
        <f t="shared" ca="1" si="0"/>
        <v>Desactualizado</v>
      </c>
      <c r="AN29" s="190">
        <f t="shared" si="1"/>
        <v>0</v>
      </c>
      <c r="AO29" s="193">
        <f t="shared" ca="1" si="2"/>
        <v>-1505.5666666666666</v>
      </c>
      <c r="AP29" s="195" t="str">
        <f t="shared" ca="1" si="3"/>
        <v>Vencida</v>
      </c>
    </row>
    <row r="30" spans="1:42" s="136" customFormat="1" ht="20.25" x14ac:dyDescent="0.3">
      <c r="A30" s="147">
        <v>23</v>
      </c>
      <c r="B30" s="148"/>
      <c r="C30" s="149"/>
      <c r="D30" s="149"/>
      <c r="E30" s="141"/>
      <c r="F30" s="141"/>
      <c r="G30" s="141"/>
      <c r="H30" s="150"/>
      <c r="I30" s="141"/>
      <c r="J30" s="148"/>
      <c r="K30" s="148"/>
      <c r="L30" s="148"/>
      <c r="M30" s="151"/>
      <c r="N30" s="149"/>
      <c r="O30" s="149"/>
      <c r="P30" s="141"/>
      <c r="Q30" s="147"/>
      <c r="R30" s="147"/>
      <c r="S30" s="147"/>
      <c r="T30" s="147"/>
      <c r="U30" s="147"/>
      <c r="V30" s="148"/>
      <c r="W30" s="147"/>
      <c r="X30" s="147"/>
      <c r="Y30" s="141"/>
      <c r="Z30" s="141"/>
      <c r="AA30" s="141"/>
      <c r="AB30" s="141"/>
      <c r="AC30" s="141"/>
      <c r="AD30" s="148"/>
      <c r="AE30" s="153"/>
      <c r="AF30" s="153"/>
      <c r="AG30" s="141"/>
      <c r="AH30" s="141"/>
      <c r="AI30" s="141"/>
      <c r="AJ30" s="141"/>
      <c r="AK30" s="147"/>
      <c r="AL30" s="141"/>
      <c r="AM30" s="141" t="str">
        <f t="shared" ca="1" si="0"/>
        <v>Desactualizado</v>
      </c>
      <c r="AN30" s="190">
        <f t="shared" si="1"/>
        <v>0</v>
      </c>
      <c r="AO30" s="193">
        <f t="shared" ca="1" si="2"/>
        <v>-1505.5666666666666</v>
      </c>
      <c r="AP30" s="195" t="str">
        <f t="shared" ca="1" si="3"/>
        <v>Vencida</v>
      </c>
    </row>
    <row r="31" spans="1:42" s="136" customFormat="1" ht="20.25" x14ac:dyDescent="0.3">
      <c r="A31" s="147">
        <v>24</v>
      </c>
      <c r="B31" s="148"/>
      <c r="C31" s="149"/>
      <c r="D31" s="149"/>
      <c r="E31" s="141"/>
      <c r="F31" s="141"/>
      <c r="G31" s="141"/>
      <c r="H31" s="150"/>
      <c r="I31" s="141"/>
      <c r="J31" s="148"/>
      <c r="K31" s="148"/>
      <c r="L31" s="148"/>
      <c r="M31" s="151"/>
      <c r="N31" s="149"/>
      <c r="O31" s="149"/>
      <c r="P31" s="141"/>
      <c r="Q31" s="147"/>
      <c r="R31" s="147"/>
      <c r="S31" s="147"/>
      <c r="T31" s="147"/>
      <c r="U31" s="147"/>
      <c r="V31" s="141"/>
      <c r="W31" s="147"/>
      <c r="X31" s="147"/>
      <c r="Y31" s="141"/>
      <c r="Z31" s="141"/>
      <c r="AA31" s="141"/>
      <c r="AB31" s="141"/>
      <c r="AC31" s="141"/>
      <c r="AD31" s="148"/>
      <c r="AE31" s="153"/>
      <c r="AF31" s="153"/>
      <c r="AG31" s="141"/>
      <c r="AH31" s="141"/>
      <c r="AI31" s="141"/>
      <c r="AJ31" s="141"/>
      <c r="AK31" s="147"/>
      <c r="AL31" s="161"/>
      <c r="AM31" s="141" t="str">
        <f t="shared" ca="1" si="0"/>
        <v>Desactualizado</v>
      </c>
      <c r="AN31" s="190">
        <f t="shared" si="1"/>
        <v>0</v>
      </c>
      <c r="AO31" s="193">
        <f t="shared" ca="1" si="2"/>
        <v>-1505.5666666666666</v>
      </c>
      <c r="AP31" s="195" t="str">
        <f t="shared" ca="1" si="3"/>
        <v>Vencida</v>
      </c>
    </row>
    <row r="32" spans="1:42" s="136" customFormat="1" ht="20.25" x14ac:dyDescent="0.3">
      <c r="A32" s="147">
        <v>25</v>
      </c>
      <c r="B32" s="148"/>
      <c r="C32" s="149"/>
      <c r="D32" s="149"/>
      <c r="E32" s="141"/>
      <c r="F32" s="141"/>
      <c r="G32" s="141"/>
      <c r="H32" s="150"/>
      <c r="I32" s="148"/>
      <c r="J32" s="148"/>
      <c r="K32" s="148"/>
      <c r="L32" s="148"/>
      <c r="M32" s="151"/>
      <c r="N32" s="149"/>
      <c r="O32" s="149"/>
      <c r="P32" s="141"/>
      <c r="Q32" s="147"/>
      <c r="R32" s="147"/>
      <c r="S32" s="147"/>
      <c r="T32" s="147"/>
      <c r="U32" s="147"/>
      <c r="V32" s="148"/>
      <c r="W32" s="147"/>
      <c r="X32" s="147"/>
      <c r="Y32" s="141"/>
      <c r="Z32" s="141"/>
      <c r="AA32" s="141"/>
      <c r="AB32" s="141"/>
      <c r="AC32" s="141"/>
      <c r="AD32" s="148"/>
      <c r="AE32" s="153"/>
      <c r="AF32" s="153"/>
      <c r="AG32" s="141"/>
      <c r="AH32" s="141"/>
      <c r="AI32" s="141"/>
      <c r="AJ32" s="141"/>
      <c r="AK32" s="147"/>
      <c r="AL32" s="161"/>
      <c r="AM32" s="141" t="str">
        <f t="shared" ca="1" si="0"/>
        <v>Desactualizado</v>
      </c>
      <c r="AN32" s="190">
        <f t="shared" si="1"/>
        <v>0</v>
      </c>
      <c r="AO32" s="193">
        <f t="shared" ca="1" si="2"/>
        <v>-1505.5666666666666</v>
      </c>
      <c r="AP32" s="195" t="str">
        <f t="shared" ca="1" si="3"/>
        <v>Vencida</v>
      </c>
    </row>
    <row r="33" spans="1:42" s="136" customFormat="1" ht="20.25" x14ac:dyDescent="0.3">
      <c r="A33" s="147">
        <v>26</v>
      </c>
      <c r="B33" s="148"/>
      <c r="C33" s="149"/>
      <c r="D33" s="149"/>
      <c r="E33" s="141"/>
      <c r="F33" s="141"/>
      <c r="G33" s="141"/>
      <c r="H33" s="150"/>
      <c r="I33" s="141"/>
      <c r="J33" s="148"/>
      <c r="K33" s="148"/>
      <c r="L33" s="148"/>
      <c r="M33" s="151"/>
      <c r="N33" s="149"/>
      <c r="O33" s="149"/>
      <c r="P33" s="141"/>
      <c r="Q33" s="147"/>
      <c r="R33" s="147"/>
      <c r="S33" s="147"/>
      <c r="T33" s="147"/>
      <c r="U33" s="147"/>
      <c r="V33" s="148"/>
      <c r="W33" s="147"/>
      <c r="X33" s="147"/>
      <c r="Y33" s="141"/>
      <c r="Z33" s="141"/>
      <c r="AA33" s="141"/>
      <c r="AB33" s="141"/>
      <c r="AC33" s="141"/>
      <c r="AD33" s="148"/>
      <c r="AE33" s="153"/>
      <c r="AF33" s="153"/>
      <c r="AG33" s="141"/>
      <c r="AH33" s="141"/>
      <c r="AI33" s="141"/>
      <c r="AJ33" s="141"/>
      <c r="AK33" s="147"/>
      <c r="AL33" s="161"/>
      <c r="AM33" s="141" t="str">
        <f t="shared" ca="1" si="0"/>
        <v>Desactualizado</v>
      </c>
      <c r="AN33" s="190">
        <f t="shared" si="1"/>
        <v>0</v>
      </c>
      <c r="AO33" s="193">
        <f t="shared" ca="1" si="2"/>
        <v>-1505.5666666666666</v>
      </c>
      <c r="AP33" s="195" t="str">
        <f t="shared" ca="1" si="3"/>
        <v>Vencida</v>
      </c>
    </row>
    <row r="34" spans="1:42" s="136" customFormat="1" ht="20.25" x14ac:dyDescent="0.3">
      <c r="A34" s="147">
        <v>27</v>
      </c>
      <c r="B34" s="148"/>
      <c r="C34" s="149"/>
      <c r="D34" s="149"/>
      <c r="E34" s="141"/>
      <c r="F34" s="141"/>
      <c r="G34" s="141"/>
      <c r="H34" s="150"/>
      <c r="I34" s="141"/>
      <c r="J34" s="148"/>
      <c r="K34" s="148"/>
      <c r="L34" s="148"/>
      <c r="M34" s="151"/>
      <c r="N34" s="149"/>
      <c r="O34" s="149"/>
      <c r="P34" s="141"/>
      <c r="Q34" s="147"/>
      <c r="R34" s="147"/>
      <c r="S34" s="147"/>
      <c r="T34" s="147"/>
      <c r="U34" s="147"/>
      <c r="V34" s="148"/>
      <c r="W34" s="147"/>
      <c r="X34" s="147"/>
      <c r="Y34" s="141"/>
      <c r="Z34" s="141"/>
      <c r="AA34" s="141"/>
      <c r="AB34" s="141"/>
      <c r="AC34" s="141"/>
      <c r="AD34" s="148"/>
      <c r="AE34" s="153"/>
      <c r="AF34" s="153"/>
      <c r="AG34" s="141"/>
      <c r="AH34" s="141"/>
      <c r="AI34" s="141"/>
      <c r="AJ34" s="141"/>
      <c r="AK34" s="147"/>
      <c r="AL34" s="161"/>
      <c r="AM34" s="141" t="str">
        <f t="shared" ca="1" si="0"/>
        <v>Desactualizado</v>
      </c>
      <c r="AN34" s="190">
        <f t="shared" si="1"/>
        <v>0</v>
      </c>
      <c r="AO34" s="193">
        <f t="shared" ca="1" si="2"/>
        <v>-1505.5666666666666</v>
      </c>
      <c r="AP34" s="195" t="str">
        <f t="shared" ca="1" si="3"/>
        <v>Vencida</v>
      </c>
    </row>
    <row r="35" spans="1:42" s="136" customFormat="1" ht="20.25" x14ac:dyDescent="0.3">
      <c r="A35" s="147">
        <v>28</v>
      </c>
      <c r="B35" s="148"/>
      <c r="C35" s="149"/>
      <c r="D35" s="149"/>
      <c r="E35" s="141"/>
      <c r="F35" s="141"/>
      <c r="G35" s="141"/>
      <c r="H35" s="150"/>
      <c r="I35" s="141"/>
      <c r="J35" s="148"/>
      <c r="K35" s="148"/>
      <c r="L35" s="148"/>
      <c r="M35" s="151"/>
      <c r="N35" s="149"/>
      <c r="O35" s="149"/>
      <c r="P35" s="141"/>
      <c r="Q35" s="147"/>
      <c r="R35" s="147"/>
      <c r="S35" s="147"/>
      <c r="T35" s="147"/>
      <c r="U35" s="147"/>
      <c r="V35" s="148"/>
      <c r="W35" s="147"/>
      <c r="X35" s="147"/>
      <c r="Y35" s="141"/>
      <c r="Z35" s="141"/>
      <c r="AA35" s="141"/>
      <c r="AB35" s="141"/>
      <c r="AC35" s="141"/>
      <c r="AD35" s="148"/>
      <c r="AE35" s="153"/>
      <c r="AF35" s="153"/>
      <c r="AG35" s="141"/>
      <c r="AH35" s="141"/>
      <c r="AI35" s="141"/>
      <c r="AJ35" s="141"/>
      <c r="AK35" s="147"/>
      <c r="AL35" s="161"/>
      <c r="AM35" s="141" t="str">
        <f t="shared" ca="1" si="0"/>
        <v>Desactualizado</v>
      </c>
      <c r="AN35" s="190">
        <f t="shared" si="1"/>
        <v>0</v>
      </c>
      <c r="AO35" s="193">
        <f t="shared" ca="1" si="2"/>
        <v>-1505.5666666666666</v>
      </c>
      <c r="AP35" s="195" t="str">
        <f t="shared" ca="1" si="3"/>
        <v>Vencida</v>
      </c>
    </row>
    <row r="36" spans="1:42" s="136" customFormat="1" ht="20.25" x14ac:dyDescent="0.3">
      <c r="A36" s="147">
        <v>29</v>
      </c>
      <c r="B36" s="148"/>
      <c r="C36" s="149"/>
      <c r="D36" s="149"/>
      <c r="E36" s="141"/>
      <c r="F36" s="141"/>
      <c r="G36" s="141"/>
      <c r="H36" s="150"/>
      <c r="I36" s="141"/>
      <c r="J36" s="148"/>
      <c r="K36" s="148"/>
      <c r="L36" s="148"/>
      <c r="M36" s="151"/>
      <c r="N36" s="149"/>
      <c r="O36" s="149"/>
      <c r="P36" s="141"/>
      <c r="Q36" s="147"/>
      <c r="R36" s="147"/>
      <c r="S36" s="147"/>
      <c r="T36" s="147"/>
      <c r="U36" s="147"/>
      <c r="V36" s="141"/>
      <c r="W36" s="147"/>
      <c r="X36" s="147"/>
      <c r="Y36" s="141"/>
      <c r="Z36" s="141"/>
      <c r="AA36" s="141"/>
      <c r="AB36" s="141"/>
      <c r="AC36" s="141"/>
      <c r="AD36" s="148"/>
      <c r="AE36" s="153"/>
      <c r="AF36" s="153"/>
      <c r="AG36" s="141"/>
      <c r="AH36" s="141"/>
      <c r="AI36" s="141"/>
      <c r="AJ36" s="141"/>
      <c r="AK36" s="147"/>
      <c r="AL36" s="161"/>
      <c r="AM36" s="141" t="str">
        <f t="shared" ca="1" si="0"/>
        <v>Desactualizado</v>
      </c>
      <c r="AN36" s="190">
        <f t="shared" si="1"/>
        <v>0</v>
      </c>
      <c r="AO36" s="193">
        <f t="shared" ca="1" si="2"/>
        <v>-1505.5666666666666</v>
      </c>
      <c r="AP36" s="195" t="str">
        <f t="shared" ca="1" si="3"/>
        <v>Vencida</v>
      </c>
    </row>
    <row r="37" spans="1:42" s="136" customFormat="1" ht="31.5" customHeight="1" x14ac:dyDescent="0.3">
      <c r="A37" s="147">
        <v>30</v>
      </c>
      <c r="B37" s="148"/>
      <c r="C37" s="149"/>
      <c r="D37" s="149"/>
      <c r="E37" s="141"/>
      <c r="F37" s="141"/>
      <c r="G37" s="141"/>
      <c r="H37" s="150"/>
      <c r="I37" s="141"/>
      <c r="J37" s="148"/>
      <c r="K37" s="148"/>
      <c r="L37" s="148"/>
      <c r="M37" s="151"/>
      <c r="N37" s="149"/>
      <c r="O37" s="149"/>
      <c r="P37" s="141"/>
      <c r="Q37" s="147"/>
      <c r="R37" s="147"/>
      <c r="S37" s="147"/>
      <c r="T37" s="147"/>
      <c r="U37" s="147"/>
      <c r="V37" s="141"/>
      <c r="W37" s="147"/>
      <c r="X37" s="147"/>
      <c r="Y37" s="141"/>
      <c r="Z37" s="141"/>
      <c r="AA37" s="141"/>
      <c r="AB37" s="141"/>
      <c r="AC37" s="141"/>
      <c r="AD37" s="148"/>
      <c r="AE37" s="153"/>
      <c r="AF37" s="153"/>
      <c r="AG37" s="141"/>
      <c r="AH37" s="141"/>
      <c r="AI37" s="141"/>
      <c r="AJ37" s="141"/>
      <c r="AK37" s="147"/>
      <c r="AL37" s="161"/>
      <c r="AM37" s="141" t="str">
        <f t="shared" ca="1" si="0"/>
        <v>Desactualizado</v>
      </c>
      <c r="AN37" s="190">
        <f t="shared" si="1"/>
        <v>0</v>
      </c>
      <c r="AO37" s="193">
        <f t="shared" ca="1" si="2"/>
        <v>-1505.5666666666666</v>
      </c>
      <c r="AP37" s="195" t="str">
        <f t="shared" ca="1" si="3"/>
        <v>Vencida</v>
      </c>
    </row>
    <row r="38" spans="1:42" s="136" customFormat="1" ht="20.25" x14ac:dyDescent="0.3">
      <c r="A38" s="147">
        <v>31</v>
      </c>
      <c r="B38" s="148"/>
      <c r="C38" s="149"/>
      <c r="D38" s="149"/>
      <c r="E38" s="141"/>
      <c r="F38" s="141"/>
      <c r="G38" s="141"/>
      <c r="H38" s="150"/>
      <c r="I38" s="141"/>
      <c r="J38" s="148"/>
      <c r="K38" s="148"/>
      <c r="L38" s="148"/>
      <c r="M38" s="151"/>
      <c r="N38" s="149"/>
      <c r="O38" s="149"/>
      <c r="P38" s="141"/>
      <c r="Q38" s="147"/>
      <c r="R38" s="147"/>
      <c r="S38" s="147"/>
      <c r="T38" s="147"/>
      <c r="U38" s="147"/>
      <c r="V38" s="141"/>
      <c r="W38" s="147"/>
      <c r="X38" s="147"/>
      <c r="Y38" s="141"/>
      <c r="Z38" s="141"/>
      <c r="AA38" s="141"/>
      <c r="AB38" s="141"/>
      <c r="AC38" s="141"/>
      <c r="AD38" s="148"/>
      <c r="AE38" s="153"/>
      <c r="AF38" s="153"/>
      <c r="AG38" s="141"/>
      <c r="AH38" s="141"/>
      <c r="AI38" s="141"/>
      <c r="AJ38" s="141"/>
      <c r="AK38" s="147"/>
      <c r="AL38" s="161"/>
      <c r="AM38" s="141" t="str">
        <f t="shared" ca="1" si="0"/>
        <v>Desactualizado</v>
      </c>
      <c r="AN38" s="190">
        <f t="shared" si="1"/>
        <v>0</v>
      </c>
      <c r="AO38" s="193">
        <f t="shared" ca="1" si="2"/>
        <v>-1505.5666666666666</v>
      </c>
      <c r="AP38" s="195" t="str">
        <f t="shared" ca="1" si="3"/>
        <v>Vencida</v>
      </c>
    </row>
    <row r="39" spans="1:42" s="136" customFormat="1" ht="20.25" x14ac:dyDescent="0.3">
      <c r="A39" s="147">
        <v>32</v>
      </c>
      <c r="B39" s="148"/>
      <c r="C39" s="149"/>
      <c r="D39" s="149"/>
      <c r="E39" s="141"/>
      <c r="F39" s="141"/>
      <c r="G39" s="141"/>
      <c r="H39" s="150"/>
      <c r="I39" s="141"/>
      <c r="J39" s="148"/>
      <c r="K39" s="148"/>
      <c r="L39" s="148"/>
      <c r="M39" s="151"/>
      <c r="N39" s="149"/>
      <c r="O39" s="149"/>
      <c r="P39" s="141"/>
      <c r="Q39" s="147"/>
      <c r="R39" s="147"/>
      <c r="S39" s="147"/>
      <c r="T39" s="147"/>
      <c r="U39" s="147"/>
      <c r="V39" s="141"/>
      <c r="W39" s="147"/>
      <c r="X39" s="147"/>
      <c r="Y39" s="141"/>
      <c r="Z39" s="141"/>
      <c r="AA39" s="141"/>
      <c r="AB39" s="141"/>
      <c r="AC39" s="141"/>
      <c r="AD39" s="148"/>
      <c r="AE39" s="153"/>
      <c r="AF39" s="153"/>
      <c r="AG39" s="141"/>
      <c r="AH39" s="141"/>
      <c r="AI39" s="141"/>
      <c r="AJ39" s="141"/>
      <c r="AK39" s="147"/>
      <c r="AL39" s="161"/>
      <c r="AM39" s="141" t="str">
        <f t="shared" ca="1" si="0"/>
        <v>Desactualizado</v>
      </c>
      <c r="AN39" s="190">
        <f t="shared" si="1"/>
        <v>0</v>
      </c>
      <c r="AO39" s="193">
        <f t="shared" ca="1" si="2"/>
        <v>-1505.5666666666666</v>
      </c>
      <c r="AP39" s="195" t="str">
        <f t="shared" ca="1" si="3"/>
        <v>Vencida</v>
      </c>
    </row>
    <row r="40" spans="1:42" s="136" customFormat="1" ht="20.25" x14ac:dyDescent="0.3">
      <c r="A40" s="147">
        <v>33</v>
      </c>
      <c r="B40" s="148"/>
      <c r="C40" s="149"/>
      <c r="D40" s="149"/>
      <c r="E40" s="141"/>
      <c r="F40" s="141"/>
      <c r="G40" s="141"/>
      <c r="H40" s="150"/>
      <c r="I40" s="141"/>
      <c r="J40" s="148"/>
      <c r="K40" s="148"/>
      <c r="L40" s="148"/>
      <c r="M40" s="151"/>
      <c r="N40" s="149"/>
      <c r="O40" s="149"/>
      <c r="P40" s="141"/>
      <c r="Q40" s="147"/>
      <c r="R40" s="147"/>
      <c r="S40" s="147"/>
      <c r="T40" s="147"/>
      <c r="U40" s="147"/>
      <c r="V40" s="141"/>
      <c r="W40" s="147"/>
      <c r="X40" s="147"/>
      <c r="Y40" s="141"/>
      <c r="Z40" s="141"/>
      <c r="AA40" s="141"/>
      <c r="AB40" s="141"/>
      <c r="AC40" s="141"/>
      <c r="AD40" s="148"/>
      <c r="AE40" s="153"/>
      <c r="AF40" s="153"/>
      <c r="AG40" s="141"/>
      <c r="AH40" s="141"/>
      <c r="AI40" s="141"/>
      <c r="AJ40" s="141"/>
      <c r="AK40" s="147"/>
      <c r="AL40" s="161"/>
      <c r="AM40" s="141" t="str">
        <f t="shared" ca="1" si="0"/>
        <v>Desactualizado</v>
      </c>
      <c r="AN40" s="190">
        <f t="shared" si="1"/>
        <v>0</v>
      </c>
      <c r="AO40" s="193">
        <f t="shared" ca="1" si="2"/>
        <v>-1505.5666666666666</v>
      </c>
      <c r="AP40" s="195" t="str">
        <f t="shared" ca="1" si="3"/>
        <v>Vencida</v>
      </c>
    </row>
    <row r="41" spans="1:42" s="136" customFormat="1" ht="20.25" x14ac:dyDescent="0.3">
      <c r="A41" s="147">
        <v>34</v>
      </c>
      <c r="B41" s="148"/>
      <c r="C41" s="149"/>
      <c r="D41" s="149"/>
      <c r="E41" s="141"/>
      <c r="F41" s="141"/>
      <c r="G41" s="141"/>
      <c r="H41" s="150"/>
      <c r="I41" s="141"/>
      <c r="J41" s="148"/>
      <c r="K41" s="148"/>
      <c r="L41" s="148"/>
      <c r="M41" s="151"/>
      <c r="N41" s="149"/>
      <c r="O41" s="149"/>
      <c r="P41" s="141"/>
      <c r="Q41" s="147"/>
      <c r="R41" s="147"/>
      <c r="S41" s="147"/>
      <c r="T41" s="147"/>
      <c r="U41" s="147"/>
      <c r="V41" s="141"/>
      <c r="W41" s="147"/>
      <c r="X41" s="147"/>
      <c r="Y41" s="141"/>
      <c r="Z41" s="141"/>
      <c r="AA41" s="141"/>
      <c r="AB41" s="141"/>
      <c r="AC41" s="141"/>
      <c r="AD41" s="148"/>
      <c r="AE41" s="153"/>
      <c r="AF41" s="153"/>
      <c r="AG41" s="141"/>
      <c r="AH41" s="141"/>
      <c r="AI41" s="141"/>
      <c r="AJ41" s="141"/>
      <c r="AK41" s="147"/>
      <c r="AL41" s="161"/>
      <c r="AM41" s="141" t="str">
        <f t="shared" ca="1" si="0"/>
        <v>Desactualizado</v>
      </c>
      <c r="AN41" s="190">
        <f t="shared" si="1"/>
        <v>0</v>
      </c>
      <c r="AO41" s="193">
        <f t="shared" ca="1" si="2"/>
        <v>-1505.5666666666666</v>
      </c>
      <c r="AP41" s="195" t="str">
        <f t="shared" ca="1" si="3"/>
        <v>Vencida</v>
      </c>
    </row>
    <row r="42" spans="1:42" s="136" customFormat="1" ht="20.25" x14ac:dyDescent="0.3">
      <c r="A42" s="147">
        <v>35</v>
      </c>
      <c r="B42" s="148"/>
      <c r="C42" s="149"/>
      <c r="D42" s="149"/>
      <c r="E42" s="141"/>
      <c r="F42" s="141"/>
      <c r="G42" s="141"/>
      <c r="H42" s="150"/>
      <c r="I42" s="141"/>
      <c r="J42" s="148"/>
      <c r="K42" s="148"/>
      <c r="L42" s="148"/>
      <c r="M42" s="151"/>
      <c r="N42" s="149"/>
      <c r="O42" s="149"/>
      <c r="P42" s="141"/>
      <c r="Q42" s="147"/>
      <c r="R42" s="147"/>
      <c r="S42" s="147"/>
      <c r="T42" s="147"/>
      <c r="U42" s="147"/>
      <c r="V42" s="141"/>
      <c r="W42" s="147"/>
      <c r="X42" s="147"/>
      <c r="Y42" s="141"/>
      <c r="Z42" s="141"/>
      <c r="AA42" s="141"/>
      <c r="AB42" s="141"/>
      <c r="AC42" s="141"/>
      <c r="AD42" s="148"/>
      <c r="AE42" s="153"/>
      <c r="AF42" s="153"/>
      <c r="AG42" s="141"/>
      <c r="AH42" s="141"/>
      <c r="AI42" s="141"/>
      <c r="AJ42" s="141"/>
      <c r="AK42" s="147"/>
      <c r="AL42" s="161"/>
      <c r="AM42" s="141" t="str">
        <f t="shared" ca="1" si="0"/>
        <v>Desactualizado</v>
      </c>
      <c r="AN42" s="190">
        <f t="shared" si="1"/>
        <v>0</v>
      </c>
      <c r="AO42" s="193">
        <f t="shared" ca="1" si="2"/>
        <v>-1505.5666666666666</v>
      </c>
      <c r="AP42" s="195" t="str">
        <f t="shared" ca="1" si="3"/>
        <v>Vencida</v>
      </c>
    </row>
    <row r="43" spans="1:42" s="136" customFormat="1" ht="52.5" customHeight="1" x14ac:dyDescent="0.3">
      <c r="A43" s="147">
        <v>36</v>
      </c>
      <c r="B43" s="148"/>
      <c r="C43" s="149"/>
      <c r="D43" s="149"/>
      <c r="E43" s="141"/>
      <c r="F43" s="141"/>
      <c r="G43" s="141"/>
      <c r="H43" s="150"/>
      <c r="I43" s="148"/>
      <c r="J43" s="148"/>
      <c r="K43" s="148"/>
      <c r="L43" s="148"/>
      <c r="M43" s="151"/>
      <c r="N43" s="149"/>
      <c r="O43" s="149"/>
      <c r="P43" s="141"/>
      <c r="Q43" s="147"/>
      <c r="R43" s="147"/>
      <c r="S43" s="147"/>
      <c r="T43" s="147"/>
      <c r="U43" s="147"/>
      <c r="V43" s="141"/>
      <c r="W43" s="147"/>
      <c r="X43" s="147"/>
      <c r="Y43" s="141"/>
      <c r="Z43" s="141"/>
      <c r="AA43" s="141"/>
      <c r="AB43" s="141"/>
      <c r="AC43" s="141"/>
      <c r="AD43" s="148"/>
      <c r="AE43" s="153"/>
      <c r="AF43" s="153"/>
      <c r="AG43" s="141"/>
      <c r="AH43" s="141"/>
      <c r="AI43" s="141"/>
      <c r="AJ43" s="141"/>
      <c r="AK43" s="147"/>
      <c r="AL43" s="161"/>
      <c r="AM43" s="141" t="str">
        <f t="shared" ca="1" si="0"/>
        <v>Desactualizado</v>
      </c>
      <c r="AN43" s="190">
        <f t="shared" si="1"/>
        <v>0</v>
      </c>
      <c r="AO43" s="193">
        <f t="shared" ca="1" si="2"/>
        <v>-1505.5666666666666</v>
      </c>
      <c r="AP43" s="195" t="str">
        <f t="shared" ca="1" si="3"/>
        <v>Vencida</v>
      </c>
    </row>
    <row r="44" spans="1:42" s="136" customFormat="1" ht="20.25" x14ac:dyDescent="0.3">
      <c r="A44" s="147">
        <v>37</v>
      </c>
      <c r="B44" s="148"/>
      <c r="C44" s="149"/>
      <c r="D44" s="149"/>
      <c r="E44" s="141"/>
      <c r="F44" s="141"/>
      <c r="G44" s="141"/>
      <c r="H44" s="150"/>
      <c r="I44" s="148"/>
      <c r="J44" s="148"/>
      <c r="K44" s="148"/>
      <c r="L44" s="148"/>
      <c r="M44" s="151"/>
      <c r="N44" s="149"/>
      <c r="O44" s="149"/>
      <c r="P44" s="141"/>
      <c r="Q44" s="147"/>
      <c r="R44" s="147"/>
      <c r="S44" s="147"/>
      <c r="T44" s="147"/>
      <c r="U44" s="147"/>
      <c r="V44" s="160"/>
      <c r="W44" s="147"/>
      <c r="X44" s="147"/>
      <c r="Y44" s="141"/>
      <c r="Z44" s="141"/>
      <c r="AA44" s="141"/>
      <c r="AB44" s="141"/>
      <c r="AC44" s="141"/>
      <c r="AD44" s="148"/>
      <c r="AE44" s="153"/>
      <c r="AF44" s="153"/>
      <c r="AG44" s="141"/>
      <c r="AH44" s="141"/>
      <c r="AI44" s="141"/>
      <c r="AJ44" s="141"/>
      <c r="AK44" s="147"/>
      <c r="AL44" s="161"/>
      <c r="AM44" s="141" t="str">
        <f t="shared" ca="1" si="0"/>
        <v>Desactualizado</v>
      </c>
      <c r="AN44" s="190">
        <f t="shared" si="1"/>
        <v>0</v>
      </c>
      <c r="AO44" s="193">
        <f t="shared" ca="1" si="2"/>
        <v>-1505.5666666666666</v>
      </c>
      <c r="AP44" s="195" t="str">
        <f t="shared" ca="1" si="3"/>
        <v>Vencida</v>
      </c>
    </row>
    <row r="45" spans="1:42" s="136" customFormat="1" ht="20.25" x14ac:dyDescent="0.3">
      <c r="A45" s="147">
        <v>38</v>
      </c>
      <c r="B45" s="148"/>
      <c r="C45" s="149"/>
      <c r="D45" s="149"/>
      <c r="E45" s="141"/>
      <c r="F45" s="141"/>
      <c r="G45" s="141"/>
      <c r="H45" s="150"/>
      <c r="I45" s="148"/>
      <c r="J45" s="148"/>
      <c r="K45" s="148"/>
      <c r="L45" s="148"/>
      <c r="M45" s="151"/>
      <c r="N45" s="149"/>
      <c r="O45" s="149"/>
      <c r="P45" s="141"/>
      <c r="Q45" s="147"/>
      <c r="R45" s="147"/>
      <c r="S45" s="147"/>
      <c r="T45" s="147"/>
      <c r="U45" s="147"/>
      <c r="V45" s="148"/>
      <c r="W45" s="147"/>
      <c r="X45" s="147"/>
      <c r="Y45" s="141"/>
      <c r="Z45" s="141"/>
      <c r="AA45" s="141"/>
      <c r="AB45" s="141"/>
      <c r="AC45" s="141"/>
      <c r="AD45" s="148"/>
      <c r="AE45" s="153"/>
      <c r="AF45" s="153"/>
      <c r="AG45" s="141"/>
      <c r="AH45" s="141"/>
      <c r="AI45" s="141"/>
      <c r="AJ45" s="141"/>
      <c r="AK45" s="147"/>
      <c r="AL45" s="161"/>
      <c r="AM45" s="141" t="str">
        <f t="shared" ca="1" si="0"/>
        <v>Desactualizado</v>
      </c>
      <c r="AN45" s="190">
        <f t="shared" si="1"/>
        <v>0</v>
      </c>
      <c r="AO45" s="193">
        <f t="shared" ca="1" si="2"/>
        <v>-1505.5666666666666</v>
      </c>
      <c r="AP45" s="195" t="str">
        <f t="shared" ca="1" si="3"/>
        <v>Vencida</v>
      </c>
    </row>
    <row r="46" spans="1:42" s="136" customFormat="1" ht="29.25" customHeight="1" x14ac:dyDescent="0.3">
      <c r="A46" s="147">
        <v>39</v>
      </c>
      <c r="B46" s="148"/>
      <c r="C46" s="149"/>
      <c r="D46" s="149"/>
      <c r="E46" s="141"/>
      <c r="F46" s="141"/>
      <c r="G46" s="141"/>
      <c r="H46" s="150"/>
      <c r="I46" s="159"/>
      <c r="J46" s="159"/>
      <c r="K46" s="148"/>
      <c r="L46" s="159"/>
      <c r="M46" s="151"/>
      <c r="N46" s="149"/>
      <c r="O46" s="149"/>
      <c r="P46" s="141"/>
      <c r="Q46" s="147"/>
      <c r="R46" s="147"/>
      <c r="S46" s="147"/>
      <c r="T46" s="147"/>
      <c r="U46" s="147"/>
      <c r="V46" s="141"/>
      <c r="W46" s="147"/>
      <c r="X46" s="147"/>
      <c r="Y46" s="141"/>
      <c r="Z46" s="141"/>
      <c r="AA46" s="141"/>
      <c r="AB46" s="141"/>
      <c r="AC46" s="141"/>
      <c r="AD46" s="148"/>
      <c r="AE46" s="153"/>
      <c r="AF46" s="153"/>
      <c r="AG46" s="141"/>
      <c r="AH46" s="141"/>
      <c r="AI46" s="141"/>
      <c r="AJ46" s="141"/>
      <c r="AK46" s="147"/>
      <c r="AL46" s="161"/>
      <c r="AM46" s="141" t="str">
        <f t="shared" ca="1" si="0"/>
        <v>Desactualizado</v>
      </c>
      <c r="AN46" s="190">
        <f t="shared" si="1"/>
        <v>0</v>
      </c>
      <c r="AO46" s="193">
        <f t="shared" ca="1" si="2"/>
        <v>-1505.5666666666666</v>
      </c>
      <c r="AP46" s="195" t="str">
        <f t="shared" ca="1" si="3"/>
        <v>Vencida</v>
      </c>
    </row>
    <row r="47" spans="1:42" s="136" customFormat="1" ht="20.25" x14ac:dyDescent="0.3">
      <c r="A47" s="147">
        <v>40</v>
      </c>
      <c r="B47" s="148"/>
      <c r="C47" s="149"/>
      <c r="D47" s="149"/>
      <c r="E47" s="141"/>
      <c r="F47" s="141"/>
      <c r="G47" s="141"/>
      <c r="H47" s="150"/>
      <c r="I47" s="141"/>
      <c r="J47" s="148"/>
      <c r="K47" s="148"/>
      <c r="L47" s="148"/>
      <c r="M47" s="151"/>
      <c r="N47" s="149"/>
      <c r="O47" s="149"/>
      <c r="P47" s="141"/>
      <c r="Q47" s="147"/>
      <c r="R47" s="147"/>
      <c r="S47" s="147"/>
      <c r="T47" s="147"/>
      <c r="U47" s="147"/>
      <c r="V47" s="141"/>
      <c r="W47" s="147"/>
      <c r="X47" s="147"/>
      <c r="Y47" s="141"/>
      <c r="Z47" s="141"/>
      <c r="AA47" s="141"/>
      <c r="AB47" s="141"/>
      <c r="AC47" s="141"/>
      <c r="AD47" s="148"/>
      <c r="AE47" s="153"/>
      <c r="AF47" s="153"/>
      <c r="AG47" s="141"/>
      <c r="AH47" s="141"/>
      <c r="AI47" s="141"/>
      <c r="AJ47" s="141"/>
      <c r="AK47" s="147"/>
      <c r="AL47" s="161"/>
      <c r="AM47" s="141" t="str">
        <f t="shared" ca="1" si="0"/>
        <v>Desactualizado</v>
      </c>
      <c r="AN47" s="190">
        <f t="shared" si="1"/>
        <v>0</v>
      </c>
      <c r="AO47" s="193">
        <f t="shared" ca="1" si="2"/>
        <v>-1505.5666666666666</v>
      </c>
      <c r="AP47" s="195" t="str">
        <f t="shared" ca="1" si="3"/>
        <v>Vencida</v>
      </c>
    </row>
    <row r="48" spans="1:42" s="136" customFormat="1" ht="20.25" x14ac:dyDescent="0.3">
      <c r="A48" s="147">
        <v>41</v>
      </c>
      <c r="B48" s="148"/>
      <c r="C48" s="149"/>
      <c r="D48" s="149"/>
      <c r="E48" s="141"/>
      <c r="F48" s="141"/>
      <c r="G48" s="141"/>
      <c r="H48" s="150"/>
      <c r="I48" s="148"/>
      <c r="J48" s="148"/>
      <c r="K48" s="148"/>
      <c r="L48" s="148"/>
      <c r="M48" s="151"/>
      <c r="N48" s="149"/>
      <c r="O48" s="149"/>
      <c r="P48" s="141"/>
      <c r="Q48" s="147"/>
      <c r="R48" s="147"/>
      <c r="S48" s="147"/>
      <c r="T48" s="147"/>
      <c r="U48" s="147"/>
      <c r="V48" s="141"/>
      <c r="W48" s="147"/>
      <c r="X48" s="147"/>
      <c r="Y48" s="141"/>
      <c r="Z48" s="141"/>
      <c r="AA48" s="141"/>
      <c r="AB48" s="141"/>
      <c r="AC48" s="141"/>
      <c r="AD48" s="148"/>
      <c r="AE48" s="153"/>
      <c r="AF48" s="153"/>
      <c r="AG48" s="141"/>
      <c r="AH48" s="141"/>
      <c r="AI48" s="141"/>
      <c r="AJ48" s="141"/>
      <c r="AK48" s="147"/>
      <c r="AL48" s="141"/>
      <c r="AM48" s="141" t="str">
        <f t="shared" ca="1" si="0"/>
        <v>Desactualizado</v>
      </c>
      <c r="AN48" s="190">
        <f t="shared" si="1"/>
        <v>0</v>
      </c>
      <c r="AO48" s="193">
        <f t="shared" ca="1" si="2"/>
        <v>-1505.5666666666666</v>
      </c>
      <c r="AP48" s="195" t="str">
        <f t="shared" ca="1" si="3"/>
        <v>Vencida</v>
      </c>
    </row>
    <row r="49" spans="1:42" s="136" customFormat="1" ht="20.25" x14ac:dyDescent="0.3">
      <c r="A49" s="147">
        <v>42</v>
      </c>
      <c r="B49" s="148"/>
      <c r="C49" s="149"/>
      <c r="D49" s="149"/>
      <c r="E49" s="141"/>
      <c r="F49" s="141"/>
      <c r="G49" s="141"/>
      <c r="H49" s="150"/>
      <c r="I49" s="141"/>
      <c r="J49" s="148"/>
      <c r="K49" s="148"/>
      <c r="L49" s="148"/>
      <c r="M49" s="151"/>
      <c r="N49" s="149"/>
      <c r="O49" s="149"/>
      <c r="P49" s="141"/>
      <c r="Q49" s="147"/>
      <c r="R49" s="147"/>
      <c r="S49" s="147"/>
      <c r="T49" s="147"/>
      <c r="U49" s="147"/>
      <c r="V49" s="148"/>
      <c r="W49" s="147"/>
      <c r="X49" s="147"/>
      <c r="Y49" s="141"/>
      <c r="Z49" s="141"/>
      <c r="AA49" s="141"/>
      <c r="AB49" s="141"/>
      <c r="AC49" s="141"/>
      <c r="AD49" s="148"/>
      <c r="AE49" s="153"/>
      <c r="AF49" s="153"/>
      <c r="AG49" s="141"/>
      <c r="AH49" s="141"/>
      <c r="AI49" s="141"/>
      <c r="AJ49" s="141"/>
      <c r="AK49" s="147"/>
      <c r="AL49" s="161"/>
      <c r="AM49" s="141" t="str">
        <f t="shared" ca="1" si="0"/>
        <v>Desactualizado</v>
      </c>
      <c r="AN49" s="190">
        <f t="shared" si="1"/>
        <v>0</v>
      </c>
      <c r="AO49" s="193">
        <f t="shared" ca="1" si="2"/>
        <v>-1505.5666666666666</v>
      </c>
      <c r="AP49" s="195" t="str">
        <f t="shared" ca="1" si="3"/>
        <v>Vencida</v>
      </c>
    </row>
    <row r="50" spans="1:42" s="136" customFormat="1" ht="20.25" x14ac:dyDescent="0.3">
      <c r="A50" s="147">
        <v>43</v>
      </c>
      <c r="B50" s="148"/>
      <c r="C50" s="149"/>
      <c r="D50" s="149"/>
      <c r="E50" s="141"/>
      <c r="F50" s="141"/>
      <c r="G50" s="141"/>
      <c r="H50" s="150"/>
      <c r="I50" s="148"/>
      <c r="J50" s="148"/>
      <c r="K50" s="148"/>
      <c r="L50" s="148"/>
      <c r="M50" s="151"/>
      <c r="N50" s="149"/>
      <c r="O50" s="149"/>
      <c r="P50" s="141"/>
      <c r="Q50" s="147"/>
      <c r="R50" s="147"/>
      <c r="S50" s="147"/>
      <c r="T50" s="147"/>
      <c r="U50" s="147"/>
      <c r="V50" s="148"/>
      <c r="W50" s="147"/>
      <c r="X50" s="147"/>
      <c r="Y50" s="141"/>
      <c r="Z50" s="141"/>
      <c r="AA50" s="141"/>
      <c r="AB50" s="141"/>
      <c r="AC50" s="141"/>
      <c r="AD50" s="148"/>
      <c r="AE50" s="153"/>
      <c r="AF50" s="153"/>
      <c r="AG50" s="141"/>
      <c r="AH50" s="141"/>
      <c r="AI50" s="141"/>
      <c r="AJ50" s="141"/>
      <c r="AK50" s="147"/>
      <c r="AL50" s="161"/>
      <c r="AM50" s="141" t="str">
        <f t="shared" ca="1" si="0"/>
        <v>Desactualizado</v>
      </c>
      <c r="AN50" s="190">
        <f t="shared" si="1"/>
        <v>0</v>
      </c>
      <c r="AO50" s="193">
        <f t="shared" ca="1" si="2"/>
        <v>-1505.5666666666666</v>
      </c>
      <c r="AP50" s="195" t="str">
        <f t="shared" ca="1" si="3"/>
        <v>Vencida</v>
      </c>
    </row>
    <row r="51" spans="1:42" s="136" customFormat="1" ht="40.5" customHeight="1" x14ac:dyDescent="0.3">
      <c r="A51" s="147">
        <v>44</v>
      </c>
      <c r="B51" s="148"/>
      <c r="C51" s="149"/>
      <c r="D51" s="149"/>
      <c r="E51" s="141"/>
      <c r="F51" s="141"/>
      <c r="G51" s="141"/>
      <c r="H51" s="150"/>
      <c r="I51" s="159"/>
      <c r="J51" s="159"/>
      <c r="K51" s="148"/>
      <c r="L51" s="159"/>
      <c r="M51" s="151"/>
      <c r="N51" s="149"/>
      <c r="O51" s="149"/>
      <c r="P51" s="141"/>
      <c r="Q51" s="147"/>
      <c r="R51" s="147"/>
      <c r="S51" s="147"/>
      <c r="T51" s="147"/>
      <c r="U51" s="147"/>
      <c r="V51" s="148"/>
      <c r="W51" s="147"/>
      <c r="X51" s="147"/>
      <c r="Y51" s="141"/>
      <c r="Z51" s="141"/>
      <c r="AA51" s="141"/>
      <c r="AB51" s="141"/>
      <c r="AC51" s="141"/>
      <c r="AD51" s="148"/>
      <c r="AE51" s="153"/>
      <c r="AF51" s="153"/>
      <c r="AG51" s="141"/>
      <c r="AH51" s="141"/>
      <c r="AI51" s="141"/>
      <c r="AJ51" s="141"/>
      <c r="AK51" s="147"/>
      <c r="AL51" s="161"/>
      <c r="AM51" s="141" t="str">
        <f t="shared" ca="1" si="0"/>
        <v>Desactualizado</v>
      </c>
      <c r="AN51" s="190">
        <f t="shared" si="1"/>
        <v>0</v>
      </c>
      <c r="AO51" s="193">
        <f t="shared" ca="1" si="2"/>
        <v>-1505.5666666666666</v>
      </c>
      <c r="AP51" s="195" t="str">
        <f t="shared" ca="1" si="3"/>
        <v>Vencida</v>
      </c>
    </row>
    <row r="52" spans="1:42" s="136" customFormat="1" ht="29.25" customHeight="1" x14ac:dyDescent="0.3">
      <c r="A52" s="147">
        <v>45</v>
      </c>
      <c r="B52" s="148"/>
      <c r="C52" s="149"/>
      <c r="D52" s="149"/>
      <c r="E52" s="141"/>
      <c r="F52" s="141"/>
      <c r="G52" s="141"/>
      <c r="H52" s="150"/>
      <c r="I52" s="141"/>
      <c r="J52" s="148"/>
      <c r="K52" s="148"/>
      <c r="L52" s="148"/>
      <c r="M52" s="151"/>
      <c r="N52" s="149"/>
      <c r="O52" s="149"/>
      <c r="P52" s="141"/>
      <c r="Q52" s="141"/>
      <c r="R52" s="147"/>
      <c r="S52" s="147"/>
      <c r="T52" s="147"/>
      <c r="U52" s="147"/>
      <c r="V52" s="148"/>
      <c r="W52" s="147"/>
      <c r="X52" s="147"/>
      <c r="Y52" s="141"/>
      <c r="Z52" s="141"/>
      <c r="AA52" s="141"/>
      <c r="AB52" s="141"/>
      <c r="AC52" s="141"/>
      <c r="AD52" s="148"/>
      <c r="AE52" s="153"/>
      <c r="AF52" s="153"/>
      <c r="AG52" s="141"/>
      <c r="AH52" s="141"/>
      <c r="AI52" s="141"/>
      <c r="AJ52" s="141"/>
      <c r="AK52" s="147"/>
      <c r="AL52" s="161"/>
      <c r="AM52" s="141" t="str">
        <f t="shared" ca="1" si="0"/>
        <v>Desactualizado</v>
      </c>
      <c r="AN52" s="190">
        <f t="shared" si="1"/>
        <v>0</v>
      </c>
      <c r="AO52" s="193">
        <f t="shared" ca="1" si="2"/>
        <v>-1505.5666666666666</v>
      </c>
      <c r="AP52" s="195" t="str">
        <f t="shared" ca="1" si="3"/>
        <v>Vencida</v>
      </c>
    </row>
    <row r="53" spans="1:42" s="136" customFormat="1" ht="20.25" x14ac:dyDescent="0.3">
      <c r="A53" s="147">
        <v>46</v>
      </c>
      <c r="B53" s="148"/>
      <c r="C53" s="149"/>
      <c r="D53" s="149"/>
      <c r="E53" s="141"/>
      <c r="F53" s="141"/>
      <c r="G53" s="141"/>
      <c r="H53" s="150"/>
      <c r="I53" s="141"/>
      <c r="J53" s="148"/>
      <c r="K53" s="148"/>
      <c r="L53" s="148"/>
      <c r="M53" s="151"/>
      <c r="N53" s="149"/>
      <c r="O53" s="149"/>
      <c r="P53" s="141"/>
      <c r="Q53" s="147"/>
      <c r="R53" s="147"/>
      <c r="S53" s="147"/>
      <c r="T53" s="147"/>
      <c r="U53" s="147"/>
      <c r="V53" s="148"/>
      <c r="W53" s="147"/>
      <c r="X53" s="147"/>
      <c r="Y53" s="141"/>
      <c r="Z53" s="141"/>
      <c r="AA53" s="141"/>
      <c r="AB53" s="141"/>
      <c r="AC53" s="141"/>
      <c r="AD53" s="160"/>
      <c r="AE53" s="153"/>
      <c r="AF53" s="153"/>
      <c r="AG53" s="141"/>
      <c r="AH53" s="141"/>
      <c r="AI53" s="141"/>
      <c r="AJ53" s="141"/>
      <c r="AK53" s="147"/>
      <c r="AL53" s="161"/>
      <c r="AM53" s="141" t="str">
        <f t="shared" ca="1" si="0"/>
        <v>Desactualizado</v>
      </c>
      <c r="AN53" s="190">
        <f t="shared" si="1"/>
        <v>0</v>
      </c>
      <c r="AO53" s="193">
        <f t="shared" ca="1" si="2"/>
        <v>-1505.5666666666666</v>
      </c>
      <c r="AP53" s="195" t="str">
        <f t="shared" ca="1" si="3"/>
        <v>Vencida</v>
      </c>
    </row>
    <row r="54" spans="1:42" s="136" customFormat="1" ht="20.25" x14ac:dyDescent="0.3">
      <c r="A54" s="147">
        <v>47</v>
      </c>
      <c r="B54" s="148"/>
      <c r="C54" s="149"/>
      <c r="D54" s="149"/>
      <c r="E54" s="141"/>
      <c r="F54" s="141"/>
      <c r="G54" s="141"/>
      <c r="H54" s="150"/>
      <c r="I54" s="141"/>
      <c r="J54" s="148"/>
      <c r="K54" s="148"/>
      <c r="L54" s="148"/>
      <c r="M54" s="151"/>
      <c r="N54" s="149"/>
      <c r="O54" s="149"/>
      <c r="P54" s="141"/>
      <c r="Q54" s="147"/>
      <c r="R54" s="147"/>
      <c r="S54" s="147"/>
      <c r="T54" s="147"/>
      <c r="U54" s="147"/>
      <c r="V54" s="148"/>
      <c r="W54" s="147"/>
      <c r="X54" s="147"/>
      <c r="Y54" s="141"/>
      <c r="Z54" s="141"/>
      <c r="AA54" s="141"/>
      <c r="AB54" s="141"/>
      <c r="AC54" s="141"/>
      <c r="AD54" s="160"/>
      <c r="AE54" s="153"/>
      <c r="AF54" s="153"/>
      <c r="AG54" s="141"/>
      <c r="AH54" s="141"/>
      <c r="AI54" s="141"/>
      <c r="AJ54" s="141"/>
      <c r="AK54" s="147"/>
      <c r="AL54" s="161"/>
      <c r="AM54" s="141" t="str">
        <f t="shared" ca="1" si="0"/>
        <v>Desactualizado</v>
      </c>
      <c r="AN54" s="190">
        <f t="shared" si="1"/>
        <v>0</v>
      </c>
      <c r="AO54" s="193">
        <f t="shared" ca="1" si="2"/>
        <v>-1505.5666666666666</v>
      </c>
      <c r="AP54" s="195" t="str">
        <f t="shared" ca="1" si="3"/>
        <v>Vencida</v>
      </c>
    </row>
    <row r="55" spans="1:42" s="136" customFormat="1" ht="20.25" x14ac:dyDescent="0.3">
      <c r="A55" s="147">
        <v>48</v>
      </c>
      <c r="B55" s="148"/>
      <c r="C55" s="149"/>
      <c r="D55" s="149"/>
      <c r="E55" s="141"/>
      <c r="F55" s="141"/>
      <c r="G55" s="141"/>
      <c r="H55" s="150"/>
      <c r="I55" s="141"/>
      <c r="J55" s="148"/>
      <c r="K55" s="148"/>
      <c r="L55" s="148"/>
      <c r="M55" s="151"/>
      <c r="N55" s="149"/>
      <c r="O55" s="149"/>
      <c r="P55" s="141"/>
      <c r="Q55" s="147"/>
      <c r="R55" s="147"/>
      <c r="S55" s="147"/>
      <c r="T55" s="147"/>
      <c r="U55" s="147"/>
      <c r="V55" s="141"/>
      <c r="W55" s="147"/>
      <c r="X55" s="147"/>
      <c r="Y55" s="141"/>
      <c r="Z55" s="141"/>
      <c r="AA55" s="141"/>
      <c r="AB55" s="141"/>
      <c r="AC55" s="141"/>
      <c r="AD55" s="160"/>
      <c r="AE55" s="153"/>
      <c r="AF55" s="153"/>
      <c r="AG55" s="141"/>
      <c r="AH55" s="141"/>
      <c r="AI55" s="141"/>
      <c r="AJ55" s="141"/>
      <c r="AK55" s="147"/>
      <c r="AL55" s="161"/>
      <c r="AM55" s="141" t="str">
        <f t="shared" ca="1" si="0"/>
        <v>Desactualizado</v>
      </c>
      <c r="AN55" s="190">
        <f t="shared" si="1"/>
        <v>0</v>
      </c>
      <c r="AO55" s="193">
        <f t="shared" ca="1" si="2"/>
        <v>-1505.5666666666666</v>
      </c>
      <c r="AP55" s="195" t="str">
        <f t="shared" ca="1" si="3"/>
        <v>Vencida</v>
      </c>
    </row>
    <row r="56" spans="1:42" s="136" customFormat="1" ht="20.25" x14ac:dyDescent="0.3">
      <c r="A56" s="147">
        <v>49</v>
      </c>
      <c r="B56" s="148"/>
      <c r="C56" s="149"/>
      <c r="D56" s="149"/>
      <c r="E56" s="141"/>
      <c r="F56" s="141"/>
      <c r="G56" s="141"/>
      <c r="H56" s="150"/>
      <c r="I56" s="148"/>
      <c r="J56" s="148"/>
      <c r="K56" s="148"/>
      <c r="L56" s="148"/>
      <c r="M56" s="151"/>
      <c r="N56" s="149"/>
      <c r="O56" s="149"/>
      <c r="P56" s="141"/>
      <c r="Q56" s="147"/>
      <c r="R56" s="147"/>
      <c r="S56" s="147"/>
      <c r="T56" s="147"/>
      <c r="U56" s="147"/>
      <c r="V56" s="141"/>
      <c r="W56" s="147"/>
      <c r="X56" s="147"/>
      <c r="Y56" s="141"/>
      <c r="Z56" s="141"/>
      <c r="AA56" s="141"/>
      <c r="AB56" s="141"/>
      <c r="AC56" s="141"/>
      <c r="AD56" s="160"/>
      <c r="AE56" s="153"/>
      <c r="AF56" s="153"/>
      <c r="AG56" s="141"/>
      <c r="AH56" s="141"/>
      <c r="AI56" s="141"/>
      <c r="AJ56" s="141"/>
      <c r="AK56" s="147"/>
      <c r="AL56" s="161"/>
      <c r="AM56" s="141" t="str">
        <f t="shared" ca="1" si="0"/>
        <v>Desactualizado</v>
      </c>
      <c r="AN56" s="190">
        <f t="shared" si="1"/>
        <v>0</v>
      </c>
      <c r="AO56" s="193">
        <f t="shared" ca="1" si="2"/>
        <v>-1505.5666666666666</v>
      </c>
      <c r="AP56" s="195" t="str">
        <f t="shared" ca="1" si="3"/>
        <v>Vencida</v>
      </c>
    </row>
    <row r="57" spans="1:42" s="136" customFormat="1" ht="20.25" x14ac:dyDescent="0.3">
      <c r="A57" s="147">
        <v>50</v>
      </c>
      <c r="B57" s="148"/>
      <c r="C57" s="149"/>
      <c r="D57" s="149"/>
      <c r="E57" s="141"/>
      <c r="F57" s="141"/>
      <c r="G57" s="141"/>
      <c r="H57" s="150"/>
      <c r="I57" s="141"/>
      <c r="J57" s="148"/>
      <c r="K57" s="148"/>
      <c r="L57" s="148"/>
      <c r="M57" s="151"/>
      <c r="N57" s="149"/>
      <c r="O57" s="149"/>
      <c r="P57" s="141"/>
      <c r="Q57" s="147"/>
      <c r="R57" s="147"/>
      <c r="S57" s="147"/>
      <c r="T57" s="147"/>
      <c r="U57" s="147"/>
      <c r="V57" s="141"/>
      <c r="W57" s="147"/>
      <c r="X57" s="147"/>
      <c r="Y57" s="141"/>
      <c r="Z57" s="141"/>
      <c r="AA57" s="141"/>
      <c r="AB57" s="141"/>
      <c r="AC57" s="141"/>
      <c r="AD57" s="160"/>
      <c r="AE57" s="153"/>
      <c r="AF57" s="153"/>
      <c r="AG57" s="141"/>
      <c r="AH57" s="141"/>
      <c r="AI57" s="141"/>
      <c r="AJ57" s="141"/>
      <c r="AK57" s="147"/>
      <c r="AL57" s="161"/>
      <c r="AM57" s="141" t="str">
        <f t="shared" ca="1" si="0"/>
        <v>Desactualizado</v>
      </c>
      <c r="AN57" s="190">
        <f t="shared" si="1"/>
        <v>0</v>
      </c>
      <c r="AO57" s="193">
        <f t="shared" ca="1" si="2"/>
        <v>-1505.5666666666666</v>
      </c>
      <c r="AP57" s="195" t="str">
        <f t="shared" ca="1" si="3"/>
        <v>Vencida</v>
      </c>
    </row>
    <row r="58" spans="1:42" s="136" customFormat="1" ht="20.25" x14ac:dyDescent="0.3">
      <c r="A58" s="147">
        <v>51</v>
      </c>
      <c r="B58" s="148"/>
      <c r="C58" s="149"/>
      <c r="D58" s="149"/>
      <c r="E58" s="141"/>
      <c r="F58" s="141"/>
      <c r="G58" s="141"/>
      <c r="H58" s="150"/>
      <c r="I58" s="141"/>
      <c r="J58" s="148"/>
      <c r="K58" s="148"/>
      <c r="L58" s="148"/>
      <c r="M58" s="151"/>
      <c r="N58" s="149"/>
      <c r="O58" s="149"/>
      <c r="P58" s="141"/>
      <c r="Q58" s="147"/>
      <c r="R58" s="147"/>
      <c r="S58" s="147"/>
      <c r="T58" s="147"/>
      <c r="U58" s="147"/>
      <c r="V58" s="152"/>
      <c r="W58" s="147"/>
      <c r="X58" s="147"/>
      <c r="Y58" s="141"/>
      <c r="Z58" s="141"/>
      <c r="AA58" s="141"/>
      <c r="AB58" s="141"/>
      <c r="AC58" s="141"/>
      <c r="AD58" s="160"/>
      <c r="AE58" s="153"/>
      <c r="AF58" s="153"/>
      <c r="AG58" s="141"/>
      <c r="AH58" s="141"/>
      <c r="AI58" s="141"/>
      <c r="AJ58" s="141"/>
      <c r="AK58" s="147"/>
      <c r="AL58" s="161"/>
      <c r="AM58" s="141" t="str">
        <f t="shared" ca="1" si="0"/>
        <v>Desactualizado</v>
      </c>
      <c r="AN58" s="190">
        <f t="shared" si="1"/>
        <v>0</v>
      </c>
      <c r="AO58" s="193">
        <f t="shared" ca="1" si="2"/>
        <v>-1505.5666666666666</v>
      </c>
      <c r="AP58" s="195" t="str">
        <f t="shared" ca="1" si="3"/>
        <v>Vencida</v>
      </c>
    </row>
    <row r="59" spans="1:42" s="136" customFormat="1" ht="20.25" x14ac:dyDescent="0.3">
      <c r="A59" s="147">
        <v>52</v>
      </c>
      <c r="B59" s="148"/>
      <c r="C59" s="149"/>
      <c r="D59" s="149"/>
      <c r="E59" s="141"/>
      <c r="F59" s="141"/>
      <c r="G59" s="141"/>
      <c r="H59" s="150"/>
      <c r="I59" s="141"/>
      <c r="J59" s="148"/>
      <c r="K59" s="148"/>
      <c r="L59" s="148"/>
      <c r="M59" s="151"/>
      <c r="N59" s="149"/>
      <c r="O59" s="149"/>
      <c r="P59" s="141"/>
      <c r="Q59" s="147"/>
      <c r="R59" s="147"/>
      <c r="S59" s="147"/>
      <c r="T59" s="147"/>
      <c r="U59" s="147"/>
      <c r="V59" s="152"/>
      <c r="W59" s="147"/>
      <c r="X59" s="147"/>
      <c r="Y59" s="141"/>
      <c r="Z59" s="141"/>
      <c r="AA59" s="141"/>
      <c r="AB59" s="141"/>
      <c r="AC59" s="141"/>
      <c r="AD59" s="160"/>
      <c r="AE59" s="153"/>
      <c r="AF59" s="153"/>
      <c r="AG59" s="141"/>
      <c r="AH59" s="141"/>
      <c r="AI59" s="141"/>
      <c r="AJ59" s="141"/>
      <c r="AK59" s="147"/>
      <c r="AL59" s="161"/>
      <c r="AM59" s="141" t="str">
        <f t="shared" ca="1" si="0"/>
        <v>Desactualizado</v>
      </c>
      <c r="AN59" s="190">
        <f t="shared" si="1"/>
        <v>0</v>
      </c>
      <c r="AO59" s="193">
        <f t="shared" ca="1" si="2"/>
        <v>-1505.5666666666666</v>
      </c>
      <c r="AP59" s="195" t="str">
        <f t="shared" ca="1" si="3"/>
        <v>Vencida</v>
      </c>
    </row>
    <row r="60" spans="1:42" s="136" customFormat="1" ht="20.25" x14ac:dyDescent="0.3">
      <c r="A60" s="147">
        <v>53</v>
      </c>
      <c r="B60" s="148"/>
      <c r="C60" s="149"/>
      <c r="D60" s="149"/>
      <c r="E60" s="141"/>
      <c r="F60" s="141"/>
      <c r="G60" s="141"/>
      <c r="H60" s="150"/>
      <c r="I60" s="141"/>
      <c r="J60" s="148"/>
      <c r="K60" s="148"/>
      <c r="L60" s="148"/>
      <c r="M60" s="151"/>
      <c r="N60" s="149"/>
      <c r="O60" s="149"/>
      <c r="P60" s="141"/>
      <c r="Q60" s="147"/>
      <c r="R60" s="147"/>
      <c r="S60" s="147"/>
      <c r="T60" s="147"/>
      <c r="U60" s="147"/>
      <c r="V60" s="152"/>
      <c r="W60" s="147"/>
      <c r="X60" s="147"/>
      <c r="Y60" s="141"/>
      <c r="Z60" s="141"/>
      <c r="AA60" s="141"/>
      <c r="AB60" s="141"/>
      <c r="AC60" s="141"/>
      <c r="AD60" s="160"/>
      <c r="AE60" s="153"/>
      <c r="AF60" s="153"/>
      <c r="AG60" s="141"/>
      <c r="AH60" s="141"/>
      <c r="AI60" s="141"/>
      <c r="AJ60" s="141"/>
      <c r="AK60" s="147"/>
      <c r="AL60" s="161"/>
      <c r="AM60" s="141" t="str">
        <f t="shared" ca="1" si="0"/>
        <v>Desactualizado</v>
      </c>
      <c r="AN60" s="190">
        <f t="shared" si="1"/>
        <v>0</v>
      </c>
      <c r="AO60" s="193">
        <f t="shared" ca="1" si="2"/>
        <v>-1505.5666666666666</v>
      </c>
      <c r="AP60" s="195" t="str">
        <f t="shared" ca="1" si="3"/>
        <v>Vencida</v>
      </c>
    </row>
    <row r="61" spans="1:42" s="136" customFormat="1" ht="83.25" customHeight="1" x14ac:dyDescent="0.3">
      <c r="A61" s="147">
        <v>54</v>
      </c>
      <c r="B61" s="148"/>
      <c r="C61" s="149"/>
      <c r="D61" s="149"/>
      <c r="E61" s="141"/>
      <c r="F61" s="141"/>
      <c r="G61" s="141"/>
      <c r="H61" s="150"/>
      <c r="I61" s="141"/>
      <c r="J61" s="148"/>
      <c r="K61" s="148"/>
      <c r="L61" s="148"/>
      <c r="M61" s="151"/>
      <c r="N61" s="149"/>
      <c r="O61" s="149"/>
      <c r="P61" s="141"/>
      <c r="Q61" s="147"/>
      <c r="R61" s="147"/>
      <c r="S61" s="147"/>
      <c r="T61" s="147"/>
      <c r="U61" s="147"/>
      <c r="V61" s="152"/>
      <c r="W61" s="147"/>
      <c r="X61" s="147"/>
      <c r="Y61" s="141"/>
      <c r="Z61" s="141"/>
      <c r="AA61" s="141"/>
      <c r="AB61" s="141"/>
      <c r="AC61" s="141"/>
      <c r="AD61" s="160"/>
      <c r="AE61" s="153"/>
      <c r="AF61" s="153"/>
      <c r="AG61" s="141"/>
      <c r="AH61" s="141"/>
      <c r="AI61" s="141"/>
      <c r="AJ61" s="141"/>
      <c r="AK61" s="147"/>
      <c r="AL61" s="161"/>
      <c r="AM61" s="141" t="str">
        <f t="shared" ca="1" si="0"/>
        <v>Desactualizado</v>
      </c>
      <c r="AN61" s="190">
        <f t="shared" si="1"/>
        <v>0</v>
      </c>
      <c r="AO61" s="193">
        <f t="shared" ca="1" si="2"/>
        <v>-1505.5666666666666</v>
      </c>
      <c r="AP61" s="195" t="str">
        <f t="shared" ca="1" si="3"/>
        <v>Vencida</v>
      </c>
    </row>
    <row r="62" spans="1:42" s="136" customFormat="1" ht="20.25" x14ac:dyDescent="0.3">
      <c r="A62" s="147">
        <v>55</v>
      </c>
      <c r="B62" s="148"/>
      <c r="C62" s="149"/>
      <c r="D62" s="149"/>
      <c r="E62" s="141"/>
      <c r="F62" s="141"/>
      <c r="G62" s="141"/>
      <c r="H62" s="150"/>
      <c r="I62" s="141"/>
      <c r="J62" s="148"/>
      <c r="K62" s="148"/>
      <c r="L62" s="148"/>
      <c r="M62" s="151"/>
      <c r="N62" s="149"/>
      <c r="O62" s="149"/>
      <c r="P62" s="141"/>
      <c r="Q62" s="147"/>
      <c r="R62" s="147"/>
      <c r="S62" s="147"/>
      <c r="T62" s="147"/>
      <c r="U62" s="147"/>
      <c r="V62" s="152"/>
      <c r="W62" s="147"/>
      <c r="X62" s="147"/>
      <c r="Y62" s="141"/>
      <c r="Z62" s="141"/>
      <c r="AA62" s="141"/>
      <c r="AB62" s="141"/>
      <c r="AC62" s="141"/>
      <c r="AD62" s="160"/>
      <c r="AE62" s="153"/>
      <c r="AF62" s="153"/>
      <c r="AG62" s="141"/>
      <c r="AH62" s="141"/>
      <c r="AI62" s="141"/>
      <c r="AJ62" s="141"/>
      <c r="AK62" s="147"/>
      <c r="AL62" s="161"/>
      <c r="AM62" s="141" t="str">
        <f t="shared" ca="1" si="0"/>
        <v>Desactualizado</v>
      </c>
      <c r="AN62" s="190">
        <f t="shared" si="1"/>
        <v>0</v>
      </c>
      <c r="AO62" s="193">
        <f t="shared" ca="1" si="2"/>
        <v>-1505.5666666666666</v>
      </c>
      <c r="AP62" s="195" t="str">
        <f t="shared" ca="1" si="3"/>
        <v>Vencida</v>
      </c>
    </row>
    <row r="63" spans="1:42" s="136" customFormat="1" ht="165" customHeight="1" x14ac:dyDescent="0.3">
      <c r="A63" s="147">
        <v>56</v>
      </c>
      <c r="B63" s="148"/>
      <c r="C63" s="149"/>
      <c r="D63" s="149"/>
      <c r="E63" s="141"/>
      <c r="F63" s="141"/>
      <c r="G63" s="141"/>
      <c r="H63" s="150"/>
      <c r="I63" s="148"/>
      <c r="J63" s="148"/>
      <c r="K63" s="148"/>
      <c r="L63" s="148"/>
      <c r="M63" s="151"/>
      <c r="N63" s="149"/>
      <c r="O63" s="149"/>
      <c r="P63" s="141"/>
      <c r="Q63" s="147"/>
      <c r="R63" s="147"/>
      <c r="S63" s="147"/>
      <c r="T63" s="147"/>
      <c r="U63" s="147"/>
      <c r="V63" s="152"/>
      <c r="W63" s="147"/>
      <c r="X63" s="147"/>
      <c r="Y63" s="141"/>
      <c r="Z63" s="141"/>
      <c r="AA63" s="141"/>
      <c r="AB63" s="141"/>
      <c r="AC63" s="141"/>
      <c r="AD63" s="160"/>
      <c r="AE63" s="153"/>
      <c r="AF63" s="153"/>
      <c r="AG63" s="141"/>
      <c r="AH63" s="141"/>
      <c r="AI63" s="141"/>
      <c r="AJ63" s="141"/>
      <c r="AK63" s="147"/>
      <c r="AL63" s="161"/>
      <c r="AM63" s="141" t="str">
        <f t="shared" ca="1" si="0"/>
        <v>Desactualizado</v>
      </c>
      <c r="AN63" s="190">
        <f t="shared" si="1"/>
        <v>0</v>
      </c>
      <c r="AO63" s="193">
        <f t="shared" ca="1" si="2"/>
        <v>-1505.5666666666666</v>
      </c>
      <c r="AP63" s="195" t="str">
        <f t="shared" ca="1" si="3"/>
        <v>Vencida</v>
      </c>
    </row>
    <row r="64" spans="1:42" s="136" customFormat="1" ht="44.25" customHeight="1" x14ac:dyDescent="0.3">
      <c r="A64" s="147">
        <v>57</v>
      </c>
      <c r="B64" s="148"/>
      <c r="C64" s="149"/>
      <c r="D64" s="149"/>
      <c r="E64" s="141"/>
      <c r="F64" s="141"/>
      <c r="G64" s="141"/>
      <c r="H64" s="150"/>
      <c r="I64" s="148"/>
      <c r="J64" s="159"/>
      <c r="K64" s="148"/>
      <c r="L64" s="159"/>
      <c r="M64" s="151"/>
      <c r="N64" s="149"/>
      <c r="O64" s="149"/>
      <c r="P64" s="141"/>
      <c r="Q64" s="147"/>
      <c r="R64" s="147"/>
      <c r="S64" s="147"/>
      <c r="T64" s="147"/>
      <c r="U64" s="147"/>
      <c r="V64" s="152"/>
      <c r="W64" s="147"/>
      <c r="X64" s="147"/>
      <c r="Y64" s="141"/>
      <c r="Z64" s="141"/>
      <c r="AA64" s="141"/>
      <c r="AB64" s="141"/>
      <c r="AC64" s="141"/>
      <c r="AD64" s="160"/>
      <c r="AE64" s="153"/>
      <c r="AF64" s="153"/>
      <c r="AG64" s="141"/>
      <c r="AH64" s="141"/>
      <c r="AI64" s="141"/>
      <c r="AJ64" s="141"/>
      <c r="AK64" s="147"/>
      <c r="AL64" s="141"/>
      <c r="AM64" s="141" t="str">
        <f t="shared" ca="1" si="0"/>
        <v>Desactualizado</v>
      </c>
      <c r="AN64" s="190">
        <f t="shared" si="1"/>
        <v>0</v>
      </c>
      <c r="AO64" s="193">
        <f t="shared" ca="1" si="2"/>
        <v>-1505.5666666666666</v>
      </c>
      <c r="AP64" s="195" t="str">
        <f t="shared" ca="1" si="3"/>
        <v>Vencida</v>
      </c>
    </row>
    <row r="65" spans="1:42" s="136" customFormat="1" ht="29.25" customHeight="1" x14ac:dyDescent="0.3">
      <c r="A65" s="147">
        <v>58</v>
      </c>
      <c r="B65" s="148"/>
      <c r="C65" s="149"/>
      <c r="D65" s="149"/>
      <c r="E65" s="141"/>
      <c r="F65" s="141"/>
      <c r="G65" s="141"/>
      <c r="H65" s="150"/>
      <c r="I65" s="148"/>
      <c r="J65" s="159"/>
      <c r="K65" s="148"/>
      <c r="L65" s="159"/>
      <c r="M65" s="151"/>
      <c r="N65" s="149"/>
      <c r="O65" s="149"/>
      <c r="P65" s="141"/>
      <c r="Q65" s="147"/>
      <c r="R65" s="147"/>
      <c r="S65" s="147"/>
      <c r="T65" s="147"/>
      <c r="U65" s="147"/>
      <c r="V65" s="152"/>
      <c r="W65" s="147"/>
      <c r="X65" s="147"/>
      <c r="Y65" s="141"/>
      <c r="Z65" s="141"/>
      <c r="AA65" s="141"/>
      <c r="AB65" s="141"/>
      <c r="AC65" s="141"/>
      <c r="AD65" s="160"/>
      <c r="AE65" s="153"/>
      <c r="AF65" s="153"/>
      <c r="AG65" s="141"/>
      <c r="AH65" s="141"/>
      <c r="AI65" s="141"/>
      <c r="AJ65" s="141"/>
      <c r="AK65" s="147"/>
      <c r="AL65" s="141"/>
      <c r="AM65" s="141" t="str">
        <f t="shared" ca="1" si="0"/>
        <v>Desactualizado</v>
      </c>
      <c r="AN65" s="190">
        <f t="shared" si="1"/>
        <v>0</v>
      </c>
      <c r="AO65" s="193">
        <f t="shared" ca="1" si="2"/>
        <v>-1505.5666666666666</v>
      </c>
      <c r="AP65" s="195" t="str">
        <f t="shared" ca="1" si="3"/>
        <v>Vencida</v>
      </c>
    </row>
    <row r="66" spans="1:42" s="136" customFormat="1" ht="29.25" customHeight="1" x14ac:dyDescent="0.3">
      <c r="A66" s="147">
        <v>59</v>
      </c>
      <c r="B66" s="148"/>
      <c r="C66" s="149"/>
      <c r="D66" s="149"/>
      <c r="E66" s="141"/>
      <c r="F66" s="141"/>
      <c r="G66" s="141"/>
      <c r="H66" s="150"/>
      <c r="I66" s="148"/>
      <c r="J66" s="159"/>
      <c r="K66" s="148"/>
      <c r="L66" s="159"/>
      <c r="M66" s="151"/>
      <c r="N66" s="149"/>
      <c r="O66" s="149"/>
      <c r="P66" s="141"/>
      <c r="Q66" s="147"/>
      <c r="R66" s="147"/>
      <c r="S66" s="147"/>
      <c r="T66" s="147"/>
      <c r="U66" s="147"/>
      <c r="V66" s="152"/>
      <c r="W66" s="147"/>
      <c r="X66" s="147"/>
      <c r="Y66" s="141"/>
      <c r="Z66" s="141"/>
      <c r="AA66" s="141"/>
      <c r="AB66" s="141"/>
      <c r="AC66" s="141"/>
      <c r="AD66" s="160"/>
      <c r="AE66" s="153"/>
      <c r="AF66" s="153"/>
      <c r="AG66" s="141"/>
      <c r="AH66" s="141"/>
      <c r="AI66" s="141"/>
      <c r="AJ66" s="141"/>
      <c r="AK66" s="147"/>
      <c r="AL66" s="141"/>
      <c r="AM66" s="141" t="str">
        <f t="shared" ca="1" si="0"/>
        <v>Desactualizado</v>
      </c>
      <c r="AN66" s="190">
        <f t="shared" si="1"/>
        <v>0</v>
      </c>
      <c r="AO66" s="193">
        <f t="shared" ca="1" si="2"/>
        <v>-1505.5666666666666</v>
      </c>
      <c r="AP66" s="195" t="str">
        <f t="shared" ca="1" si="3"/>
        <v>Vencida</v>
      </c>
    </row>
    <row r="67" spans="1:42" s="136" customFormat="1" ht="29.25" customHeight="1" x14ac:dyDescent="0.3">
      <c r="A67" s="147">
        <v>60</v>
      </c>
      <c r="B67" s="148"/>
      <c r="C67" s="149"/>
      <c r="D67" s="149"/>
      <c r="E67" s="141"/>
      <c r="F67" s="141"/>
      <c r="G67" s="141"/>
      <c r="H67" s="150"/>
      <c r="I67" s="148"/>
      <c r="J67" s="159"/>
      <c r="K67" s="148"/>
      <c r="L67" s="159"/>
      <c r="M67" s="151"/>
      <c r="N67" s="149"/>
      <c r="O67" s="149"/>
      <c r="P67" s="141"/>
      <c r="Q67" s="147"/>
      <c r="R67" s="147"/>
      <c r="S67" s="147"/>
      <c r="T67" s="147"/>
      <c r="U67" s="147"/>
      <c r="V67" s="152"/>
      <c r="W67" s="147"/>
      <c r="X67" s="147"/>
      <c r="Y67" s="141"/>
      <c r="Z67" s="141"/>
      <c r="AA67" s="141"/>
      <c r="AB67" s="141"/>
      <c r="AC67" s="141"/>
      <c r="AD67" s="160"/>
      <c r="AE67" s="153"/>
      <c r="AF67" s="153"/>
      <c r="AG67" s="141"/>
      <c r="AH67" s="141"/>
      <c r="AI67" s="141"/>
      <c r="AJ67" s="141"/>
      <c r="AK67" s="147"/>
      <c r="AL67" s="141"/>
      <c r="AM67" s="141" t="str">
        <f t="shared" ca="1" si="0"/>
        <v>Desactualizado</v>
      </c>
      <c r="AN67" s="190">
        <f t="shared" si="1"/>
        <v>0</v>
      </c>
      <c r="AO67" s="193">
        <f t="shared" ca="1" si="2"/>
        <v>-1505.5666666666666</v>
      </c>
      <c r="AP67" s="195" t="str">
        <f t="shared" ca="1" si="3"/>
        <v>Vencida</v>
      </c>
    </row>
    <row r="68" spans="1:42" s="136" customFormat="1" ht="29.25" customHeight="1" x14ac:dyDescent="0.3">
      <c r="A68" s="147">
        <v>61</v>
      </c>
      <c r="B68" s="148"/>
      <c r="C68" s="149"/>
      <c r="D68" s="149"/>
      <c r="E68" s="141"/>
      <c r="F68" s="141"/>
      <c r="G68" s="141"/>
      <c r="H68" s="150"/>
      <c r="I68" s="148"/>
      <c r="J68" s="159"/>
      <c r="K68" s="148"/>
      <c r="L68" s="159"/>
      <c r="M68" s="151"/>
      <c r="N68" s="149"/>
      <c r="O68" s="149"/>
      <c r="P68" s="141"/>
      <c r="Q68" s="147"/>
      <c r="R68" s="147"/>
      <c r="S68" s="147"/>
      <c r="T68" s="147"/>
      <c r="U68" s="147"/>
      <c r="V68" s="152"/>
      <c r="W68" s="147"/>
      <c r="X68" s="147"/>
      <c r="Y68" s="141"/>
      <c r="Z68" s="141"/>
      <c r="AA68" s="141"/>
      <c r="AB68" s="141"/>
      <c r="AC68" s="141"/>
      <c r="AD68" s="160"/>
      <c r="AE68" s="153"/>
      <c r="AF68" s="153"/>
      <c r="AG68" s="141"/>
      <c r="AH68" s="141"/>
      <c r="AI68" s="141"/>
      <c r="AJ68" s="141"/>
      <c r="AK68" s="147"/>
      <c r="AL68" s="141"/>
      <c r="AM68" s="141" t="str">
        <f t="shared" ca="1" si="0"/>
        <v>Desactualizado</v>
      </c>
      <c r="AN68" s="190">
        <f t="shared" si="1"/>
        <v>0</v>
      </c>
      <c r="AO68" s="193">
        <f t="shared" ca="1" si="2"/>
        <v>-1505.5666666666666</v>
      </c>
      <c r="AP68" s="195" t="str">
        <f t="shared" ca="1" si="3"/>
        <v>Vencida</v>
      </c>
    </row>
    <row r="69" spans="1:42" s="136" customFormat="1" ht="29.25" customHeight="1" x14ac:dyDescent="0.3">
      <c r="A69" s="147">
        <v>62</v>
      </c>
      <c r="B69" s="148"/>
      <c r="C69" s="149"/>
      <c r="D69" s="149"/>
      <c r="E69" s="141"/>
      <c r="F69" s="141"/>
      <c r="G69" s="141"/>
      <c r="H69" s="150"/>
      <c r="I69" s="148"/>
      <c r="J69" s="159"/>
      <c r="K69" s="148"/>
      <c r="L69" s="159"/>
      <c r="M69" s="151"/>
      <c r="N69" s="149"/>
      <c r="O69" s="149"/>
      <c r="P69" s="141"/>
      <c r="Q69" s="147"/>
      <c r="R69" s="147"/>
      <c r="S69" s="147"/>
      <c r="T69" s="147"/>
      <c r="U69" s="147"/>
      <c r="V69" s="152"/>
      <c r="W69" s="147"/>
      <c r="X69" s="147"/>
      <c r="Y69" s="141"/>
      <c r="Z69" s="141"/>
      <c r="AA69" s="141"/>
      <c r="AB69" s="141"/>
      <c r="AC69" s="141"/>
      <c r="AD69" s="160"/>
      <c r="AE69" s="153"/>
      <c r="AF69" s="153"/>
      <c r="AG69" s="141"/>
      <c r="AH69" s="141"/>
      <c r="AI69" s="141"/>
      <c r="AJ69" s="141"/>
      <c r="AK69" s="147"/>
      <c r="AL69" s="141"/>
      <c r="AM69" s="141" t="str">
        <f t="shared" ca="1" si="0"/>
        <v>Desactualizado</v>
      </c>
      <c r="AN69" s="190">
        <f t="shared" si="1"/>
        <v>0</v>
      </c>
      <c r="AO69" s="193">
        <f t="shared" ca="1" si="2"/>
        <v>-1505.5666666666666</v>
      </c>
      <c r="AP69" s="195" t="str">
        <f t="shared" ca="1" si="3"/>
        <v>Vencida</v>
      </c>
    </row>
    <row r="70" spans="1:42" s="136" customFormat="1" ht="29.25" customHeight="1" x14ac:dyDescent="0.3">
      <c r="A70" s="147">
        <v>63</v>
      </c>
      <c r="B70" s="148"/>
      <c r="C70" s="149"/>
      <c r="D70" s="149"/>
      <c r="E70" s="141"/>
      <c r="F70" s="141"/>
      <c r="G70" s="141"/>
      <c r="H70" s="150"/>
      <c r="I70" s="148"/>
      <c r="J70" s="159"/>
      <c r="K70" s="148"/>
      <c r="L70" s="159"/>
      <c r="M70" s="151"/>
      <c r="N70" s="149"/>
      <c r="O70" s="149"/>
      <c r="P70" s="141"/>
      <c r="Q70" s="147"/>
      <c r="R70" s="147"/>
      <c r="S70" s="147"/>
      <c r="T70" s="147"/>
      <c r="U70" s="147"/>
      <c r="V70" s="152"/>
      <c r="W70" s="147"/>
      <c r="X70" s="147"/>
      <c r="Y70" s="141"/>
      <c r="Z70" s="141"/>
      <c r="AA70" s="141"/>
      <c r="AB70" s="141"/>
      <c r="AC70" s="141"/>
      <c r="AD70" s="160"/>
      <c r="AE70" s="153"/>
      <c r="AF70" s="153"/>
      <c r="AG70" s="141"/>
      <c r="AH70" s="141"/>
      <c r="AI70" s="141"/>
      <c r="AJ70" s="141"/>
      <c r="AK70" s="147"/>
      <c r="AL70" s="141"/>
      <c r="AM70" s="141" t="str">
        <f t="shared" ca="1" si="0"/>
        <v>Desactualizado</v>
      </c>
      <c r="AN70" s="190">
        <f t="shared" si="1"/>
        <v>0</v>
      </c>
      <c r="AO70" s="193">
        <f t="shared" ca="1" si="2"/>
        <v>-1505.5666666666666</v>
      </c>
      <c r="AP70" s="195" t="str">
        <f t="shared" ca="1" si="3"/>
        <v>Vencida</v>
      </c>
    </row>
    <row r="71" spans="1:42" s="136" customFormat="1" ht="47.25" customHeight="1" x14ac:dyDescent="0.3">
      <c r="A71" s="147">
        <v>64</v>
      </c>
      <c r="B71" s="148"/>
      <c r="C71" s="149"/>
      <c r="D71" s="149"/>
      <c r="E71" s="141"/>
      <c r="F71" s="141"/>
      <c r="G71" s="141"/>
      <c r="H71" s="150"/>
      <c r="I71" s="148"/>
      <c r="J71" s="159"/>
      <c r="K71" s="148"/>
      <c r="L71" s="159"/>
      <c r="M71" s="151"/>
      <c r="N71" s="149"/>
      <c r="O71" s="149"/>
      <c r="P71" s="141"/>
      <c r="Q71" s="147"/>
      <c r="R71" s="147"/>
      <c r="S71" s="147"/>
      <c r="T71" s="147"/>
      <c r="U71" s="147"/>
      <c r="V71" s="152"/>
      <c r="W71" s="147"/>
      <c r="X71" s="147"/>
      <c r="Y71" s="141"/>
      <c r="Z71" s="141"/>
      <c r="AA71" s="141"/>
      <c r="AB71" s="141"/>
      <c r="AC71" s="141"/>
      <c r="AD71" s="160"/>
      <c r="AE71" s="153"/>
      <c r="AF71" s="153"/>
      <c r="AG71" s="141"/>
      <c r="AH71" s="141"/>
      <c r="AI71" s="141"/>
      <c r="AJ71" s="141"/>
      <c r="AK71" s="147"/>
      <c r="AL71" s="141"/>
      <c r="AM71" s="141" t="str">
        <f t="shared" ca="1" si="0"/>
        <v>Desactualizado</v>
      </c>
      <c r="AN71" s="190">
        <f t="shared" si="1"/>
        <v>0</v>
      </c>
      <c r="AO71" s="193">
        <f t="shared" ca="1" si="2"/>
        <v>-1505.5666666666666</v>
      </c>
      <c r="AP71" s="195" t="str">
        <f t="shared" ca="1" si="3"/>
        <v>Vencida</v>
      </c>
    </row>
    <row r="72" spans="1:42" s="136" customFormat="1" ht="47.25" customHeight="1" x14ac:dyDescent="0.3">
      <c r="A72" s="147">
        <v>65</v>
      </c>
      <c r="B72" s="148"/>
      <c r="C72" s="149"/>
      <c r="D72" s="149"/>
      <c r="E72" s="141"/>
      <c r="F72" s="141"/>
      <c r="G72" s="141"/>
      <c r="H72" s="150"/>
      <c r="I72" s="148"/>
      <c r="J72" s="159"/>
      <c r="K72" s="148"/>
      <c r="L72" s="159"/>
      <c r="M72" s="151"/>
      <c r="N72" s="149"/>
      <c r="O72" s="149"/>
      <c r="P72" s="141"/>
      <c r="Q72" s="147"/>
      <c r="R72" s="147"/>
      <c r="S72" s="147"/>
      <c r="T72" s="147"/>
      <c r="U72" s="147"/>
      <c r="V72" s="152"/>
      <c r="W72" s="147"/>
      <c r="X72" s="147"/>
      <c r="Y72" s="141"/>
      <c r="Z72" s="141"/>
      <c r="AA72" s="141"/>
      <c r="AB72" s="141"/>
      <c r="AC72" s="141"/>
      <c r="AD72" s="160"/>
      <c r="AE72" s="153"/>
      <c r="AF72" s="153"/>
      <c r="AG72" s="141"/>
      <c r="AH72" s="141"/>
      <c r="AI72" s="141"/>
      <c r="AJ72" s="141"/>
      <c r="AK72" s="147"/>
      <c r="AL72" s="141"/>
      <c r="AM72" s="141" t="str">
        <f t="shared" ref="AM72:AM135" ca="1" si="4">IF(((TODAY()-AL72)/365)&lt;=5,"Actualizado","Desactualizado")</f>
        <v>Desactualizado</v>
      </c>
      <c r="AN72" s="190">
        <f t="shared" si="1"/>
        <v>0</v>
      </c>
      <c r="AO72" s="193">
        <f t="shared" ca="1" si="2"/>
        <v>-1505.5666666666666</v>
      </c>
      <c r="AP72" s="195" t="str">
        <f t="shared" ca="1" si="3"/>
        <v>Vencida</v>
      </c>
    </row>
    <row r="73" spans="1:42" s="136" customFormat="1" ht="29.25" customHeight="1" x14ac:dyDescent="0.3">
      <c r="A73" s="147">
        <v>66</v>
      </c>
      <c r="B73" s="148"/>
      <c r="C73" s="149"/>
      <c r="D73" s="149"/>
      <c r="E73" s="141"/>
      <c r="F73" s="141"/>
      <c r="G73" s="141"/>
      <c r="H73" s="150"/>
      <c r="I73" s="148"/>
      <c r="J73" s="159"/>
      <c r="K73" s="148"/>
      <c r="L73" s="159"/>
      <c r="M73" s="151"/>
      <c r="N73" s="149"/>
      <c r="O73" s="149"/>
      <c r="P73" s="141"/>
      <c r="Q73" s="147"/>
      <c r="R73" s="147"/>
      <c r="S73" s="147"/>
      <c r="T73" s="147"/>
      <c r="U73" s="147"/>
      <c r="V73" s="152"/>
      <c r="W73" s="147"/>
      <c r="X73" s="147"/>
      <c r="Y73" s="141"/>
      <c r="Z73" s="141"/>
      <c r="AA73" s="141"/>
      <c r="AB73" s="141"/>
      <c r="AC73" s="141"/>
      <c r="AD73" s="160"/>
      <c r="AE73" s="153"/>
      <c r="AF73" s="153"/>
      <c r="AG73" s="141"/>
      <c r="AH73" s="141"/>
      <c r="AI73" s="141"/>
      <c r="AJ73" s="141"/>
      <c r="AK73" s="147"/>
      <c r="AL73" s="141"/>
      <c r="AM73" s="141" t="str">
        <f t="shared" ca="1" si="4"/>
        <v>Desactualizado</v>
      </c>
      <c r="AN73" s="190">
        <f t="shared" ref="AN73:AN136" si="5">+M73</f>
        <v>0</v>
      </c>
      <c r="AO73" s="193">
        <f t="shared" ref="AO73:AO136" ca="1" si="6">(AN73-TODAY())/30</f>
        <v>-1505.5666666666666</v>
      </c>
      <c r="AP73" s="195" t="str">
        <f t="shared" ca="1" si="3"/>
        <v>Vencida</v>
      </c>
    </row>
    <row r="74" spans="1:42" s="136" customFormat="1" ht="51.75" customHeight="1" x14ac:dyDescent="0.3">
      <c r="A74" s="147">
        <v>67</v>
      </c>
      <c r="B74" s="148"/>
      <c r="C74" s="149"/>
      <c r="D74" s="149"/>
      <c r="E74" s="141"/>
      <c r="F74" s="141"/>
      <c r="G74" s="141"/>
      <c r="H74" s="150"/>
      <c r="I74" s="148"/>
      <c r="J74" s="159"/>
      <c r="K74" s="148"/>
      <c r="L74" s="159"/>
      <c r="M74" s="151"/>
      <c r="N74" s="149"/>
      <c r="O74" s="149"/>
      <c r="P74" s="141"/>
      <c r="Q74" s="147"/>
      <c r="R74" s="147"/>
      <c r="S74" s="147"/>
      <c r="T74" s="147"/>
      <c r="U74" s="147"/>
      <c r="V74" s="152"/>
      <c r="W74" s="147"/>
      <c r="X74" s="147"/>
      <c r="Y74" s="141"/>
      <c r="Z74" s="141"/>
      <c r="AA74" s="141"/>
      <c r="AB74" s="141"/>
      <c r="AC74" s="141"/>
      <c r="AD74" s="160"/>
      <c r="AE74" s="153"/>
      <c r="AF74" s="153"/>
      <c r="AG74" s="141"/>
      <c r="AH74" s="141"/>
      <c r="AI74" s="141"/>
      <c r="AJ74" s="141"/>
      <c r="AK74" s="147"/>
      <c r="AL74" s="141"/>
      <c r="AM74" s="141" t="str">
        <f t="shared" ca="1" si="4"/>
        <v>Desactualizado</v>
      </c>
      <c r="AN74" s="190">
        <f t="shared" si="5"/>
        <v>0</v>
      </c>
      <c r="AO74" s="193">
        <f t="shared" ca="1" si="6"/>
        <v>-1505.5666666666666</v>
      </c>
      <c r="AP74" s="195" t="str">
        <f t="shared" ref="AP74:AP137" ca="1" si="7">IF(AO74&gt;6,"Vigente",IF(AND(AO74&gt;=3,AO74&lt;=6),"Pendiente por vencer",IF(AND(AO74&gt;=1,AO74&lt;=3),"Proxima a vencer","Vencida")))</f>
        <v>Vencida</v>
      </c>
    </row>
    <row r="75" spans="1:42" s="136" customFormat="1" ht="29.25" customHeight="1" x14ac:dyDescent="0.3">
      <c r="A75" s="147">
        <v>68</v>
      </c>
      <c r="B75" s="148"/>
      <c r="C75" s="149"/>
      <c r="D75" s="149"/>
      <c r="E75" s="141"/>
      <c r="F75" s="141"/>
      <c r="G75" s="141"/>
      <c r="H75" s="150"/>
      <c r="I75" s="148"/>
      <c r="J75" s="148"/>
      <c r="K75" s="148"/>
      <c r="L75" s="148"/>
      <c r="M75" s="151"/>
      <c r="N75" s="149"/>
      <c r="O75" s="149"/>
      <c r="P75" s="141"/>
      <c r="Q75" s="147"/>
      <c r="R75" s="147"/>
      <c r="S75" s="147"/>
      <c r="T75" s="147"/>
      <c r="U75" s="147"/>
      <c r="V75" s="152"/>
      <c r="W75" s="147"/>
      <c r="X75" s="147"/>
      <c r="Y75" s="141"/>
      <c r="Z75" s="141"/>
      <c r="AA75" s="141"/>
      <c r="AB75" s="141"/>
      <c r="AC75" s="141"/>
      <c r="AD75" s="160"/>
      <c r="AE75" s="153"/>
      <c r="AF75" s="153"/>
      <c r="AG75" s="141"/>
      <c r="AH75" s="141"/>
      <c r="AI75" s="141"/>
      <c r="AJ75" s="141"/>
      <c r="AK75" s="147"/>
      <c r="AL75" s="141"/>
      <c r="AM75" s="141" t="str">
        <f t="shared" ca="1" si="4"/>
        <v>Desactualizado</v>
      </c>
      <c r="AN75" s="190">
        <f t="shared" si="5"/>
        <v>0</v>
      </c>
      <c r="AO75" s="193">
        <f t="shared" ca="1" si="6"/>
        <v>-1505.5666666666666</v>
      </c>
      <c r="AP75" s="195" t="str">
        <f t="shared" ca="1" si="7"/>
        <v>Vencida</v>
      </c>
    </row>
    <row r="76" spans="1:42" s="136" customFormat="1" ht="29.25" customHeight="1" x14ac:dyDescent="0.3">
      <c r="A76" s="147">
        <v>69</v>
      </c>
      <c r="B76" s="148"/>
      <c r="C76" s="149"/>
      <c r="D76" s="149"/>
      <c r="E76" s="141"/>
      <c r="F76" s="141"/>
      <c r="G76" s="141"/>
      <c r="H76" s="150"/>
      <c r="I76" s="148"/>
      <c r="J76" s="148"/>
      <c r="K76" s="148"/>
      <c r="L76" s="148"/>
      <c r="M76" s="151"/>
      <c r="N76" s="149"/>
      <c r="O76" s="149"/>
      <c r="P76" s="141"/>
      <c r="Q76" s="147"/>
      <c r="R76" s="147"/>
      <c r="S76" s="147"/>
      <c r="T76" s="147"/>
      <c r="U76" s="147"/>
      <c r="V76" s="152"/>
      <c r="W76" s="147"/>
      <c r="X76" s="147"/>
      <c r="Y76" s="141"/>
      <c r="Z76" s="141"/>
      <c r="AA76" s="141"/>
      <c r="AB76" s="141"/>
      <c r="AC76" s="141"/>
      <c r="AD76" s="160"/>
      <c r="AE76" s="153"/>
      <c r="AF76" s="153"/>
      <c r="AG76" s="141"/>
      <c r="AH76" s="141"/>
      <c r="AI76" s="141"/>
      <c r="AJ76" s="141"/>
      <c r="AK76" s="147"/>
      <c r="AL76" s="141"/>
      <c r="AM76" s="141" t="str">
        <f t="shared" ca="1" si="4"/>
        <v>Desactualizado</v>
      </c>
      <c r="AN76" s="190">
        <f t="shared" si="5"/>
        <v>0</v>
      </c>
      <c r="AO76" s="193">
        <f t="shared" ca="1" si="6"/>
        <v>-1505.5666666666666</v>
      </c>
      <c r="AP76" s="195" t="str">
        <f t="shared" ca="1" si="7"/>
        <v>Vencida</v>
      </c>
    </row>
    <row r="77" spans="1:42" s="136" customFormat="1" ht="29.25" customHeight="1" x14ac:dyDescent="0.3">
      <c r="A77" s="147">
        <v>70</v>
      </c>
      <c r="B77" s="148"/>
      <c r="C77" s="149"/>
      <c r="D77" s="149"/>
      <c r="E77" s="141"/>
      <c r="F77" s="141"/>
      <c r="G77" s="141"/>
      <c r="H77" s="150"/>
      <c r="I77" s="148"/>
      <c r="J77" s="148"/>
      <c r="K77" s="148"/>
      <c r="L77" s="148"/>
      <c r="M77" s="151"/>
      <c r="N77" s="149"/>
      <c r="O77" s="149"/>
      <c r="P77" s="141"/>
      <c r="Q77" s="147"/>
      <c r="R77" s="147"/>
      <c r="S77" s="147"/>
      <c r="T77" s="147"/>
      <c r="U77" s="147"/>
      <c r="V77" s="152"/>
      <c r="W77" s="147"/>
      <c r="X77" s="147"/>
      <c r="Y77" s="141"/>
      <c r="Z77" s="141"/>
      <c r="AA77" s="141"/>
      <c r="AB77" s="141"/>
      <c r="AC77" s="141"/>
      <c r="AD77" s="160"/>
      <c r="AE77" s="153"/>
      <c r="AF77" s="153"/>
      <c r="AG77" s="141"/>
      <c r="AH77" s="141"/>
      <c r="AI77" s="141"/>
      <c r="AJ77" s="141"/>
      <c r="AK77" s="147"/>
      <c r="AL77" s="141"/>
      <c r="AM77" s="141" t="str">
        <f t="shared" ca="1" si="4"/>
        <v>Desactualizado</v>
      </c>
      <c r="AN77" s="190">
        <f t="shared" si="5"/>
        <v>0</v>
      </c>
      <c r="AO77" s="193">
        <f t="shared" ca="1" si="6"/>
        <v>-1505.5666666666666</v>
      </c>
      <c r="AP77" s="195" t="str">
        <f t="shared" ca="1" si="7"/>
        <v>Vencida</v>
      </c>
    </row>
    <row r="78" spans="1:42" s="136" customFormat="1" ht="68.25" customHeight="1" x14ac:dyDescent="0.3">
      <c r="A78" s="147">
        <v>71</v>
      </c>
      <c r="B78" s="148"/>
      <c r="C78" s="149"/>
      <c r="D78" s="149"/>
      <c r="E78" s="141"/>
      <c r="F78" s="141"/>
      <c r="G78" s="141"/>
      <c r="H78" s="150"/>
      <c r="I78" s="148"/>
      <c r="J78" s="148"/>
      <c r="K78" s="148"/>
      <c r="L78" s="148"/>
      <c r="M78" s="151"/>
      <c r="N78" s="149"/>
      <c r="O78" s="149"/>
      <c r="P78" s="141"/>
      <c r="Q78" s="147"/>
      <c r="R78" s="147"/>
      <c r="S78" s="147"/>
      <c r="T78" s="147"/>
      <c r="U78" s="147"/>
      <c r="V78" s="152"/>
      <c r="W78" s="147"/>
      <c r="X78" s="147"/>
      <c r="Y78" s="141"/>
      <c r="Z78" s="141"/>
      <c r="AA78" s="141"/>
      <c r="AB78" s="141"/>
      <c r="AC78" s="141"/>
      <c r="AD78" s="160"/>
      <c r="AE78" s="153"/>
      <c r="AF78" s="153"/>
      <c r="AG78" s="141"/>
      <c r="AH78" s="141"/>
      <c r="AI78" s="141"/>
      <c r="AJ78" s="141"/>
      <c r="AK78" s="147"/>
      <c r="AL78" s="173"/>
      <c r="AM78" s="141" t="str">
        <f t="shared" ca="1" si="4"/>
        <v>Desactualizado</v>
      </c>
      <c r="AN78" s="190">
        <f t="shared" si="5"/>
        <v>0</v>
      </c>
      <c r="AO78" s="193">
        <f t="shared" ca="1" si="6"/>
        <v>-1505.5666666666666</v>
      </c>
      <c r="AP78" s="195" t="str">
        <f t="shared" ca="1" si="7"/>
        <v>Vencida</v>
      </c>
    </row>
    <row r="79" spans="1:42" s="136" customFormat="1" ht="29.25" customHeight="1" x14ac:dyDescent="0.3">
      <c r="A79" s="147"/>
      <c r="B79" s="148"/>
      <c r="C79" s="149"/>
      <c r="D79" s="149"/>
      <c r="E79" s="141"/>
      <c r="F79" s="141"/>
      <c r="G79" s="141"/>
      <c r="H79" s="150"/>
      <c r="I79" s="148"/>
      <c r="J79" s="148"/>
      <c r="K79" s="148"/>
      <c r="L79" s="148"/>
      <c r="M79" s="151"/>
      <c r="N79" s="149"/>
      <c r="O79" s="149"/>
      <c r="P79" s="141"/>
      <c r="Q79" s="147"/>
      <c r="R79" s="147"/>
      <c r="S79" s="147"/>
      <c r="T79" s="147"/>
      <c r="U79" s="147"/>
      <c r="V79" s="152"/>
      <c r="W79" s="147"/>
      <c r="X79" s="147"/>
      <c r="Y79" s="141"/>
      <c r="Z79" s="141"/>
      <c r="AA79" s="141"/>
      <c r="AB79" s="141"/>
      <c r="AC79" s="141"/>
      <c r="AD79" s="160"/>
      <c r="AE79" s="153"/>
      <c r="AF79" s="153"/>
      <c r="AG79" s="141"/>
      <c r="AH79" s="141"/>
      <c r="AI79" s="141"/>
      <c r="AJ79" s="141"/>
      <c r="AK79" s="147"/>
      <c r="AL79" s="174"/>
      <c r="AM79" s="141" t="str">
        <f t="shared" ca="1" si="4"/>
        <v>Desactualizado</v>
      </c>
      <c r="AN79" s="190">
        <f t="shared" si="5"/>
        <v>0</v>
      </c>
      <c r="AO79" s="193">
        <f t="shared" ca="1" si="6"/>
        <v>-1505.5666666666666</v>
      </c>
      <c r="AP79" s="195" t="str">
        <f t="shared" ca="1" si="7"/>
        <v>Vencida</v>
      </c>
    </row>
    <row r="80" spans="1:42" s="136" customFormat="1" ht="29.25" customHeight="1" x14ac:dyDescent="0.3">
      <c r="A80" s="147"/>
      <c r="B80" s="148"/>
      <c r="C80" s="149"/>
      <c r="D80" s="149"/>
      <c r="E80" s="141"/>
      <c r="F80" s="141"/>
      <c r="G80" s="141"/>
      <c r="H80" s="150"/>
      <c r="I80" s="148"/>
      <c r="J80" s="148"/>
      <c r="K80" s="148"/>
      <c r="L80" s="148"/>
      <c r="M80" s="151"/>
      <c r="N80" s="149"/>
      <c r="O80" s="149"/>
      <c r="P80" s="141"/>
      <c r="Q80" s="147"/>
      <c r="R80" s="147"/>
      <c r="S80" s="147"/>
      <c r="T80" s="147"/>
      <c r="U80" s="147"/>
      <c r="V80" s="152"/>
      <c r="W80" s="147"/>
      <c r="X80" s="147"/>
      <c r="Y80" s="141"/>
      <c r="Z80" s="141"/>
      <c r="AA80" s="141"/>
      <c r="AB80" s="141"/>
      <c r="AC80" s="141"/>
      <c r="AD80" s="160"/>
      <c r="AE80" s="153"/>
      <c r="AF80" s="153"/>
      <c r="AG80" s="141"/>
      <c r="AH80" s="141"/>
      <c r="AI80" s="141"/>
      <c r="AJ80" s="141"/>
      <c r="AK80" s="147"/>
      <c r="AL80" s="174"/>
      <c r="AM80" s="141" t="str">
        <f t="shared" ca="1" si="4"/>
        <v>Desactualizado</v>
      </c>
      <c r="AN80" s="190">
        <f t="shared" si="5"/>
        <v>0</v>
      </c>
      <c r="AO80" s="193">
        <f t="shared" ca="1" si="6"/>
        <v>-1505.5666666666666</v>
      </c>
      <c r="AP80" s="195" t="str">
        <f t="shared" ca="1" si="7"/>
        <v>Vencida</v>
      </c>
    </row>
    <row r="81" spans="1:42" s="136" customFormat="1" ht="74.25" customHeight="1" x14ac:dyDescent="0.3">
      <c r="A81" s="147"/>
      <c r="B81" s="148"/>
      <c r="C81" s="149"/>
      <c r="D81" s="149"/>
      <c r="E81" s="141"/>
      <c r="F81" s="141"/>
      <c r="G81" s="141"/>
      <c r="H81" s="150"/>
      <c r="I81" s="148"/>
      <c r="J81" s="148"/>
      <c r="K81" s="148"/>
      <c r="L81" s="148"/>
      <c r="M81" s="151"/>
      <c r="N81" s="149"/>
      <c r="O81" s="149"/>
      <c r="P81" s="141"/>
      <c r="Q81" s="147"/>
      <c r="R81" s="147"/>
      <c r="S81" s="147"/>
      <c r="T81" s="147"/>
      <c r="U81" s="147"/>
      <c r="V81" s="152"/>
      <c r="W81" s="147"/>
      <c r="X81" s="147"/>
      <c r="Y81" s="141"/>
      <c r="Z81" s="141"/>
      <c r="AA81" s="141"/>
      <c r="AB81" s="141"/>
      <c r="AC81" s="141"/>
      <c r="AD81" s="160"/>
      <c r="AE81" s="153"/>
      <c r="AF81" s="153"/>
      <c r="AG81" s="141"/>
      <c r="AH81" s="141"/>
      <c r="AI81" s="141"/>
      <c r="AJ81" s="141"/>
      <c r="AK81" s="147"/>
      <c r="AL81" s="141"/>
      <c r="AM81" s="141" t="str">
        <f t="shared" ca="1" si="4"/>
        <v>Desactualizado</v>
      </c>
      <c r="AN81" s="190">
        <f t="shared" si="5"/>
        <v>0</v>
      </c>
      <c r="AO81" s="193">
        <f t="shared" ca="1" si="6"/>
        <v>-1505.5666666666666</v>
      </c>
      <c r="AP81" s="195" t="str">
        <f t="shared" ca="1" si="7"/>
        <v>Vencida</v>
      </c>
    </row>
    <row r="82" spans="1:42" s="136" customFormat="1" ht="47.25" customHeight="1" x14ac:dyDescent="0.3">
      <c r="A82" s="147"/>
      <c r="B82" s="148"/>
      <c r="C82" s="149"/>
      <c r="D82" s="149"/>
      <c r="E82" s="141"/>
      <c r="F82" s="141"/>
      <c r="G82" s="141"/>
      <c r="H82" s="150"/>
      <c r="I82" s="148"/>
      <c r="J82" s="148"/>
      <c r="K82" s="148"/>
      <c r="L82" s="148"/>
      <c r="M82" s="151"/>
      <c r="N82" s="149"/>
      <c r="O82" s="149"/>
      <c r="P82" s="141"/>
      <c r="Q82" s="147"/>
      <c r="R82" s="147"/>
      <c r="S82" s="147"/>
      <c r="T82" s="147"/>
      <c r="U82" s="147"/>
      <c r="V82" s="152"/>
      <c r="W82" s="147"/>
      <c r="X82" s="147"/>
      <c r="Y82" s="141"/>
      <c r="Z82" s="141"/>
      <c r="AA82" s="141"/>
      <c r="AB82" s="141"/>
      <c r="AC82" s="141"/>
      <c r="AD82" s="160"/>
      <c r="AE82" s="153"/>
      <c r="AF82" s="153"/>
      <c r="AG82" s="141"/>
      <c r="AH82" s="141"/>
      <c r="AI82" s="141"/>
      <c r="AJ82" s="141"/>
      <c r="AK82" s="147"/>
      <c r="AL82" s="141"/>
      <c r="AM82" s="141" t="str">
        <f t="shared" ca="1" si="4"/>
        <v>Desactualizado</v>
      </c>
      <c r="AN82" s="190">
        <f t="shared" si="5"/>
        <v>0</v>
      </c>
      <c r="AO82" s="193">
        <f t="shared" ca="1" si="6"/>
        <v>-1505.5666666666666</v>
      </c>
      <c r="AP82" s="195" t="str">
        <f t="shared" ca="1" si="7"/>
        <v>Vencida</v>
      </c>
    </row>
    <row r="83" spans="1:42" s="136" customFormat="1" ht="29.25" customHeight="1" x14ac:dyDescent="0.3">
      <c r="A83" s="147"/>
      <c r="B83" s="148"/>
      <c r="C83" s="149"/>
      <c r="D83" s="149"/>
      <c r="E83" s="141"/>
      <c r="F83" s="141"/>
      <c r="G83" s="141"/>
      <c r="H83" s="150"/>
      <c r="I83" s="148"/>
      <c r="J83" s="148"/>
      <c r="K83" s="148"/>
      <c r="L83" s="148"/>
      <c r="M83" s="151"/>
      <c r="N83" s="149"/>
      <c r="O83" s="149"/>
      <c r="P83" s="141"/>
      <c r="Q83" s="147"/>
      <c r="R83" s="147"/>
      <c r="S83" s="147"/>
      <c r="T83" s="147"/>
      <c r="U83" s="147"/>
      <c r="V83" s="152"/>
      <c r="W83" s="147"/>
      <c r="X83" s="147"/>
      <c r="Y83" s="141"/>
      <c r="Z83" s="141"/>
      <c r="AA83" s="141"/>
      <c r="AB83" s="141"/>
      <c r="AC83" s="141"/>
      <c r="AD83" s="160"/>
      <c r="AE83" s="153"/>
      <c r="AF83" s="153"/>
      <c r="AG83" s="141"/>
      <c r="AH83" s="141"/>
      <c r="AI83" s="141"/>
      <c r="AJ83" s="141"/>
      <c r="AK83" s="147"/>
      <c r="AL83" s="141"/>
      <c r="AM83" s="141" t="str">
        <f t="shared" ca="1" si="4"/>
        <v>Desactualizado</v>
      </c>
      <c r="AN83" s="190">
        <f t="shared" si="5"/>
        <v>0</v>
      </c>
      <c r="AO83" s="193">
        <f t="shared" ca="1" si="6"/>
        <v>-1505.5666666666666</v>
      </c>
      <c r="AP83" s="195" t="str">
        <f t="shared" ca="1" si="7"/>
        <v>Vencida</v>
      </c>
    </row>
    <row r="84" spans="1:42" s="136" customFormat="1" ht="29.25" customHeight="1" x14ac:dyDescent="0.3">
      <c r="A84" s="147"/>
      <c r="B84" s="148"/>
      <c r="C84" s="149"/>
      <c r="D84" s="149"/>
      <c r="E84" s="141"/>
      <c r="F84" s="141"/>
      <c r="G84" s="141"/>
      <c r="H84" s="150"/>
      <c r="I84" s="148"/>
      <c r="J84" s="148"/>
      <c r="K84" s="148"/>
      <c r="L84" s="148"/>
      <c r="M84" s="151"/>
      <c r="N84" s="149"/>
      <c r="O84" s="149"/>
      <c r="P84" s="141"/>
      <c r="Q84" s="147"/>
      <c r="R84" s="147"/>
      <c r="S84" s="147"/>
      <c r="T84" s="147"/>
      <c r="U84" s="147"/>
      <c r="V84" s="152"/>
      <c r="W84" s="147"/>
      <c r="X84" s="147"/>
      <c r="Y84" s="141"/>
      <c r="Z84" s="141"/>
      <c r="AA84" s="141"/>
      <c r="AB84" s="141"/>
      <c r="AC84" s="141"/>
      <c r="AD84" s="160"/>
      <c r="AE84" s="153"/>
      <c r="AF84" s="153"/>
      <c r="AG84" s="141"/>
      <c r="AH84" s="141"/>
      <c r="AI84" s="141"/>
      <c r="AJ84" s="141"/>
      <c r="AK84" s="147"/>
      <c r="AL84" s="141"/>
      <c r="AM84" s="141" t="str">
        <f t="shared" ca="1" si="4"/>
        <v>Desactualizado</v>
      </c>
      <c r="AN84" s="190">
        <f t="shared" si="5"/>
        <v>0</v>
      </c>
      <c r="AO84" s="193">
        <f t="shared" ca="1" si="6"/>
        <v>-1505.5666666666666</v>
      </c>
      <c r="AP84" s="195" t="str">
        <f t="shared" ca="1" si="7"/>
        <v>Vencida</v>
      </c>
    </row>
    <row r="85" spans="1:42" s="136" customFormat="1" ht="47.25" customHeight="1" x14ac:dyDescent="0.3">
      <c r="A85" s="147"/>
      <c r="B85" s="148"/>
      <c r="C85" s="149"/>
      <c r="D85" s="149"/>
      <c r="E85" s="141"/>
      <c r="F85" s="141"/>
      <c r="G85" s="141"/>
      <c r="H85" s="150"/>
      <c r="I85" s="148"/>
      <c r="J85" s="148"/>
      <c r="K85" s="148"/>
      <c r="L85" s="148"/>
      <c r="M85" s="151"/>
      <c r="N85" s="149"/>
      <c r="O85" s="149"/>
      <c r="P85" s="141"/>
      <c r="Q85" s="147"/>
      <c r="R85" s="147"/>
      <c r="S85" s="147"/>
      <c r="T85" s="147"/>
      <c r="U85" s="147"/>
      <c r="V85" s="152"/>
      <c r="W85" s="147"/>
      <c r="X85" s="147"/>
      <c r="Y85" s="141"/>
      <c r="Z85" s="141"/>
      <c r="AA85" s="141"/>
      <c r="AB85" s="141"/>
      <c r="AC85" s="141"/>
      <c r="AD85" s="160"/>
      <c r="AE85" s="153"/>
      <c r="AF85" s="153"/>
      <c r="AG85" s="141"/>
      <c r="AH85" s="141"/>
      <c r="AI85" s="141"/>
      <c r="AJ85" s="141"/>
      <c r="AK85" s="147"/>
      <c r="AL85" s="141"/>
      <c r="AM85" s="141" t="str">
        <f t="shared" ca="1" si="4"/>
        <v>Desactualizado</v>
      </c>
      <c r="AN85" s="190">
        <f t="shared" si="5"/>
        <v>0</v>
      </c>
      <c r="AO85" s="193">
        <f t="shared" ca="1" si="6"/>
        <v>-1505.5666666666666</v>
      </c>
      <c r="AP85" s="195" t="str">
        <f t="shared" ca="1" si="7"/>
        <v>Vencida</v>
      </c>
    </row>
    <row r="86" spans="1:42" s="136" customFormat="1" ht="29.25" customHeight="1" x14ac:dyDescent="0.3">
      <c r="A86" s="147"/>
      <c r="B86" s="148"/>
      <c r="C86" s="149"/>
      <c r="D86" s="149"/>
      <c r="E86" s="141"/>
      <c r="F86" s="141"/>
      <c r="G86" s="141"/>
      <c r="H86" s="150"/>
      <c r="I86" s="148"/>
      <c r="J86" s="148"/>
      <c r="K86" s="148"/>
      <c r="L86" s="148"/>
      <c r="M86" s="151"/>
      <c r="N86" s="149"/>
      <c r="O86" s="149"/>
      <c r="P86" s="141"/>
      <c r="Q86" s="147"/>
      <c r="R86" s="147"/>
      <c r="S86" s="147"/>
      <c r="T86" s="147"/>
      <c r="U86" s="147"/>
      <c r="V86" s="152"/>
      <c r="W86" s="147"/>
      <c r="X86" s="147"/>
      <c r="Y86" s="141"/>
      <c r="Z86" s="141"/>
      <c r="AA86" s="141"/>
      <c r="AB86" s="141"/>
      <c r="AC86" s="141"/>
      <c r="AD86" s="160"/>
      <c r="AE86" s="153"/>
      <c r="AF86" s="153"/>
      <c r="AG86" s="141"/>
      <c r="AH86" s="141"/>
      <c r="AI86" s="141"/>
      <c r="AJ86" s="141"/>
      <c r="AK86" s="147"/>
      <c r="AL86" s="141"/>
      <c r="AM86" s="141" t="str">
        <f t="shared" ca="1" si="4"/>
        <v>Desactualizado</v>
      </c>
      <c r="AN86" s="190">
        <f t="shared" si="5"/>
        <v>0</v>
      </c>
      <c r="AO86" s="193">
        <f t="shared" ca="1" si="6"/>
        <v>-1505.5666666666666</v>
      </c>
      <c r="AP86" s="195" t="str">
        <f t="shared" ca="1" si="7"/>
        <v>Vencida</v>
      </c>
    </row>
    <row r="87" spans="1:42" s="136" customFormat="1" ht="29.25" customHeight="1" x14ac:dyDescent="0.3">
      <c r="A87" s="147"/>
      <c r="B87" s="148"/>
      <c r="C87" s="149"/>
      <c r="D87" s="149"/>
      <c r="E87" s="141"/>
      <c r="F87" s="141"/>
      <c r="G87" s="141"/>
      <c r="H87" s="150"/>
      <c r="I87" s="148"/>
      <c r="J87" s="148"/>
      <c r="K87" s="148"/>
      <c r="L87" s="148"/>
      <c r="M87" s="151"/>
      <c r="N87" s="149"/>
      <c r="O87" s="149"/>
      <c r="P87" s="141"/>
      <c r="Q87" s="147"/>
      <c r="R87" s="147"/>
      <c r="S87" s="147"/>
      <c r="T87" s="147"/>
      <c r="U87" s="147"/>
      <c r="V87" s="152"/>
      <c r="W87" s="147"/>
      <c r="X87" s="147"/>
      <c r="Y87" s="141"/>
      <c r="Z87" s="141"/>
      <c r="AA87" s="141"/>
      <c r="AB87" s="141"/>
      <c r="AC87" s="141"/>
      <c r="AD87" s="160"/>
      <c r="AE87" s="153"/>
      <c r="AF87" s="153"/>
      <c r="AG87" s="141"/>
      <c r="AH87" s="141"/>
      <c r="AI87" s="141"/>
      <c r="AJ87" s="141"/>
      <c r="AK87" s="147"/>
      <c r="AL87" s="141"/>
      <c r="AM87" s="141" t="str">
        <f t="shared" ca="1" si="4"/>
        <v>Desactualizado</v>
      </c>
      <c r="AN87" s="190">
        <f t="shared" si="5"/>
        <v>0</v>
      </c>
      <c r="AO87" s="193">
        <f t="shared" ca="1" si="6"/>
        <v>-1505.5666666666666</v>
      </c>
      <c r="AP87" s="195" t="str">
        <f t="shared" ca="1" si="7"/>
        <v>Vencida</v>
      </c>
    </row>
    <row r="88" spans="1:42" s="136" customFormat="1" ht="29.25" customHeight="1" x14ac:dyDescent="0.3">
      <c r="A88" s="147"/>
      <c r="B88" s="148"/>
      <c r="C88" s="149"/>
      <c r="D88" s="149"/>
      <c r="E88" s="141"/>
      <c r="F88" s="141"/>
      <c r="G88" s="141"/>
      <c r="H88" s="150"/>
      <c r="I88" s="148"/>
      <c r="J88" s="148"/>
      <c r="K88" s="148"/>
      <c r="L88" s="148"/>
      <c r="M88" s="151"/>
      <c r="N88" s="149"/>
      <c r="O88" s="149"/>
      <c r="P88" s="141"/>
      <c r="Q88" s="147"/>
      <c r="R88" s="147"/>
      <c r="S88" s="147"/>
      <c r="T88" s="147"/>
      <c r="U88" s="147"/>
      <c r="V88" s="152"/>
      <c r="W88" s="147"/>
      <c r="X88" s="147"/>
      <c r="Y88" s="141"/>
      <c r="Z88" s="141"/>
      <c r="AA88" s="141"/>
      <c r="AB88" s="141"/>
      <c r="AC88" s="141"/>
      <c r="AD88" s="160"/>
      <c r="AE88" s="153"/>
      <c r="AF88" s="153"/>
      <c r="AG88" s="141"/>
      <c r="AH88" s="141"/>
      <c r="AI88" s="141"/>
      <c r="AJ88" s="141"/>
      <c r="AK88" s="147"/>
      <c r="AL88" s="141"/>
      <c r="AM88" s="141" t="str">
        <f t="shared" ca="1" si="4"/>
        <v>Desactualizado</v>
      </c>
      <c r="AN88" s="190">
        <f t="shared" si="5"/>
        <v>0</v>
      </c>
      <c r="AO88" s="193">
        <f t="shared" ca="1" si="6"/>
        <v>-1505.5666666666666</v>
      </c>
      <c r="AP88" s="195" t="str">
        <f t="shared" ca="1" si="7"/>
        <v>Vencida</v>
      </c>
    </row>
    <row r="89" spans="1:42" s="136" customFormat="1" ht="29.25" customHeight="1" x14ac:dyDescent="0.3">
      <c r="A89" s="147"/>
      <c r="B89" s="148"/>
      <c r="C89" s="149"/>
      <c r="D89" s="149"/>
      <c r="E89" s="141"/>
      <c r="F89" s="141"/>
      <c r="G89" s="141"/>
      <c r="H89" s="150"/>
      <c r="I89" s="148"/>
      <c r="J89" s="148"/>
      <c r="K89" s="148"/>
      <c r="L89" s="148"/>
      <c r="M89" s="151"/>
      <c r="N89" s="149"/>
      <c r="O89" s="149"/>
      <c r="P89" s="141"/>
      <c r="Q89" s="147"/>
      <c r="R89" s="147"/>
      <c r="S89" s="147"/>
      <c r="T89" s="147"/>
      <c r="U89" s="147"/>
      <c r="V89" s="152"/>
      <c r="W89" s="147"/>
      <c r="X89" s="147"/>
      <c r="Y89" s="141"/>
      <c r="Z89" s="141"/>
      <c r="AA89" s="141"/>
      <c r="AB89" s="141"/>
      <c r="AC89" s="141"/>
      <c r="AD89" s="160"/>
      <c r="AE89" s="153"/>
      <c r="AF89" s="153"/>
      <c r="AG89" s="141"/>
      <c r="AH89" s="141"/>
      <c r="AI89" s="141"/>
      <c r="AJ89" s="141"/>
      <c r="AK89" s="147"/>
      <c r="AL89" s="141"/>
      <c r="AM89" s="141" t="str">
        <f t="shared" ca="1" si="4"/>
        <v>Desactualizado</v>
      </c>
      <c r="AN89" s="190">
        <f t="shared" si="5"/>
        <v>0</v>
      </c>
      <c r="AO89" s="193">
        <f t="shared" ca="1" si="6"/>
        <v>-1505.5666666666666</v>
      </c>
      <c r="AP89" s="195" t="str">
        <f t="shared" ca="1" si="7"/>
        <v>Vencida</v>
      </c>
    </row>
    <row r="90" spans="1:42" s="136" customFormat="1" ht="29.25" customHeight="1" x14ac:dyDescent="0.3">
      <c r="A90" s="147"/>
      <c r="B90" s="148"/>
      <c r="C90" s="149"/>
      <c r="D90" s="149"/>
      <c r="E90" s="141"/>
      <c r="F90" s="141"/>
      <c r="G90" s="141"/>
      <c r="H90" s="150"/>
      <c r="I90" s="162"/>
      <c r="J90" s="162"/>
      <c r="K90" s="148"/>
      <c r="L90" s="162"/>
      <c r="M90" s="151"/>
      <c r="N90" s="149"/>
      <c r="O90" s="149"/>
      <c r="P90" s="141"/>
      <c r="Q90" s="147"/>
      <c r="R90" s="147"/>
      <c r="S90" s="147"/>
      <c r="T90" s="147"/>
      <c r="U90" s="147"/>
      <c r="V90" s="152"/>
      <c r="W90" s="147"/>
      <c r="X90" s="147"/>
      <c r="Y90" s="141"/>
      <c r="Z90" s="141"/>
      <c r="AA90" s="141"/>
      <c r="AB90" s="141"/>
      <c r="AC90" s="141"/>
      <c r="AD90" s="160"/>
      <c r="AE90" s="153"/>
      <c r="AF90" s="153"/>
      <c r="AG90" s="141"/>
      <c r="AH90" s="141"/>
      <c r="AI90" s="141"/>
      <c r="AJ90" s="141"/>
      <c r="AK90" s="147"/>
      <c r="AL90" s="141"/>
      <c r="AM90" s="141" t="str">
        <f t="shared" ca="1" si="4"/>
        <v>Desactualizado</v>
      </c>
      <c r="AN90" s="190">
        <f t="shared" si="5"/>
        <v>0</v>
      </c>
      <c r="AO90" s="193">
        <f t="shared" ca="1" si="6"/>
        <v>-1505.5666666666666</v>
      </c>
      <c r="AP90" s="195" t="str">
        <f t="shared" ca="1" si="7"/>
        <v>Vencida</v>
      </c>
    </row>
    <row r="91" spans="1:42" s="136" customFormat="1" ht="29.25" customHeight="1" x14ac:dyDescent="0.3">
      <c r="A91" s="147"/>
      <c r="B91" s="148"/>
      <c r="C91" s="149"/>
      <c r="D91" s="149"/>
      <c r="E91" s="141"/>
      <c r="F91" s="141"/>
      <c r="G91" s="141"/>
      <c r="H91" s="150"/>
      <c r="I91" s="148"/>
      <c r="J91" s="148"/>
      <c r="K91" s="148"/>
      <c r="L91" s="148"/>
      <c r="M91" s="151"/>
      <c r="N91" s="149"/>
      <c r="O91" s="149"/>
      <c r="P91" s="141"/>
      <c r="Q91" s="147"/>
      <c r="R91" s="147"/>
      <c r="S91" s="147"/>
      <c r="T91" s="147"/>
      <c r="U91" s="147"/>
      <c r="V91" s="152"/>
      <c r="W91" s="147"/>
      <c r="X91" s="147"/>
      <c r="Y91" s="141"/>
      <c r="Z91" s="141"/>
      <c r="AA91" s="141"/>
      <c r="AB91" s="141"/>
      <c r="AC91" s="141"/>
      <c r="AD91" s="160"/>
      <c r="AE91" s="153"/>
      <c r="AF91" s="153"/>
      <c r="AG91" s="141"/>
      <c r="AH91" s="141"/>
      <c r="AI91" s="141"/>
      <c r="AJ91" s="141"/>
      <c r="AK91" s="147"/>
      <c r="AL91" s="141"/>
      <c r="AM91" s="141" t="str">
        <f t="shared" ca="1" si="4"/>
        <v>Desactualizado</v>
      </c>
      <c r="AN91" s="190">
        <f t="shared" si="5"/>
        <v>0</v>
      </c>
      <c r="AO91" s="193">
        <f t="shared" ca="1" si="6"/>
        <v>-1505.5666666666666</v>
      </c>
      <c r="AP91" s="195" t="str">
        <f t="shared" ca="1" si="7"/>
        <v>Vencida</v>
      </c>
    </row>
    <row r="92" spans="1:42" s="136" customFormat="1" ht="27" customHeight="1" x14ac:dyDescent="0.3">
      <c r="A92" s="147"/>
      <c r="B92" s="148"/>
      <c r="C92" s="149"/>
      <c r="D92" s="149"/>
      <c r="E92" s="141"/>
      <c r="F92" s="141"/>
      <c r="G92" s="141"/>
      <c r="H92" s="150"/>
      <c r="I92" s="148"/>
      <c r="J92" s="148"/>
      <c r="K92" s="148"/>
      <c r="L92" s="148"/>
      <c r="M92" s="151"/>
      <c r="N92" s="149"/>
      <c r="O92" s="149"/>
      <c r="P92" s="141"/>
      <c r="Q92" s="147"/>
      <c r="R92" s="147"/>
      <c r="S92" s="147"/>
      <c r="T92" s="147"/>
      <c r="U92" s="147"/>
      <c r="V92" s="152"/>
      <c r="W92" s="147"/>
      <c r="X92" s="147"/>
      <c r="Y92" s="141"/>
      <c r="Z92" s="141"/>
      <c r="AA92" s="141"/>
      <c r="AB92" s="141"/>
      <c r="AC92" s="141"/>
      <c r="AD92" s="160"/>
      <c r="AE92" s="153"/>
      <c r="AF92" s="153"/>
      <c r="AG92" s="141"/>
      <c r="AH92" s="141"/>
      <c r="AI92" s="141"/>
      <c r="AJ92" s="141"/>
      <c r="AK92" s="147"/>
      <c r="AL92" s="141"/>
      <c r="AM92" s="141" t="str">
        <f t="shared" ca="1" si="4"/>
        <v>Desactualizado</v>
      </c>
      <c r="AN92" s="190">
        <f t="shared" si="5"/>
        <v>0</v>
      </c>
      <c r="AO92" s="193">
        <f t="shared" ca="1" si="6"/>
        <v>-1505.5666666666666</v>
      </c>
      <c r="AP92" s="195" t="str">
        <f t="shared" ca="1" si="7"/>
        <v>Vencida</v>
      </c>
    </row>
    <row r="93" spans="1:42" s="136" customFormat="1" ht="20.25" x14ac:dyDescent="0.3">
      <c r="A93" s="147"/>
      <c r="B93" s="148"/>
      <c r="C93" s="149"/>
      <c r="D93" s="149"/>
      <c r="E93" s="141"/>
      <c r="F93" s="141"/>
      <c r="G93" s="141"/>
      <c r="H93" s="150"/>
      <c r="I93" s="148"/>
      <c r="J93" s="148"/>
      <c r="K93" s="148"/>
      <c r="L93" s="148"/>
      <c r="M93" s="151"/>
      <c r="N93" s="149"/>
      <c r="O93" s="149"/>
      <c r="P93" s="141"/>
      <c r="Q93" s="147"/>
      <c r="R93" s="147"/>
      <c r="S93" s="147"/>
      <c r="T93" s="147"/>
      <c r="U93" s="147"/>
      <c r="V93" s="152"/>
      <c r="W93" s="147"/>
      <c r="X93" s="147"/>
      <c r="Y93" s="141"/>
      <c r="Z93" s="141"/>
      <c r="AA93" s="141"/>
      <c r="AB93" s="141"/>
      <c r="AC93" s="141"/>
      <c r="AD93" s="160"/>
      <c r="AE93" s="153"/>
      <c r="AF93" s="153"/>
      <c r="AG93" s="141"/>
      <c r="AH93" s="141"/>
      <c r="AI93" s="141"/>
      <c r="AJ93" s="141"/>
      <c r="AK93" s="147"/>
      <c r="AL93" s="141"/>
      <c r="AM93" s="141" t="str">
        <f t="shared" ca="1" si="4"/>
        <v>Desactualizado</v>
      </c>
      <c r="AN93" s="190">
        <f t="shared" si="5"/>
        <v>0</v>
      </c>
      <c r="AO93" s="193">
        <f t="shared" ca="1" si="6"/>
        <v>-1505.5666666666666</v>
      </c>
      <c r="AP93" s="195" t="str">
        <f t="shared" ca="1" si="7"/>
        <v>Vencida</v>
      </c>
    </row>
    <row r="94" spans="1:42" s="136" customFormat="1" ht="29.25" customHeight="1" x14ac:dyDescent="0.3">
      <c r="A94" s="147"/>
      <c r="B94" s="141"/>
      <c r="C94" s="141"/>
      <c r="D94" s="141"/>
      <c r="E94" s="141"/>
      <c r="F94" s="141"/>
      <c r="G94" s="141"/>
      <c r="H94" s="141"/>
      <c r="I94" s="148"/>
      <c r="J94" s="148"/>
      <c r="K94" s="148"/>
      <c r="L94" s="148"/>
      <c r="M94" s="158"/>
      <c r="N94" s="158"/>
      <c r="O94" s="141"/>
      <c r="P94" s="141"/>
      <c r="Q94" s="147"/>
      <c r="R94" s="147"/>
      <c r="S94" s="147"/>
      <c r="T94" s="147"/>
      <c r="U94" s="147"/>
      <c r="V94" s="152"/>
      <c r="W94" s="147"/>
      <c r="X94" s="147"/>
      <c r="Y94" s="141"/>
      <c r="Z94" s="141"/>
      <c r="AA94" s="141"/>
      <c r="AB94" s="141"/>
      <c r="AC94" s="141"/>
      <c r="AD94" s="160"/>
      <c r="AE94" s="153"/>
      <c r="AF94" s="153"/>
      <c r="AG94" s="141"/>
      <c r="AH94" s="141"/>
      <c r="AI94" s="141"/>
      <c r="AJ94" s="141"/>
      <c r="AK94" s="147"/>
      <c r="AL94" s="161"/>
      <c r="AM94" s="141" t="str">
        <f t="shared" ca="1" si="4"/>
        <v>Desactualizado</v>
      </c>
      <c r="AN94" s="190">
        <f t="shared" si="5"/>
        <v>0</v>
      </c>
      <c r="AO94" s="193">
        <f t="shared" ca="1" si="6"/>
        <v>-1505.5666666666666</v>
      </c>
      <c r="AP94" s="195" t="str">
        <f t="shared" ca="1" si="7"/>
        <v>Vencida</v>
      </c>
    </row>
    <row r="95" spans="1:42" s="136" customFormat="1" ht="29.25" customHeight="1" x14ac:dyDescent="0.3">
      <c r="A95" s="147"/>
      <c r="B95" s="141"/>
      <c r="C95" s="141"/>
      <c r="D95" s="141"/>
      <c r="E95" s="141"/>
      <c r="F95" s="141"/>
      <c r="G95" s="141"/>
      <c r="H95" s="141"/>
      <c r="I95" s="148"/>
      <c r="J95" s="148"/>
      <c r="K95" s="148"/>
      <c r="L95" s="148"/>
      <c r="M95" s="158"/>
      <c r="N95" s="158"/>
      <c r="O95" s="141"/>
      <c r="P95" s="141"/>
      <c r="Q95" s="147"/>
      <c r="R95" s="147"/>
      <c r="S95" s="147"/>
      <c r="T95" s="147"/>
      <c r="U95" s="147"/>
      <c r="V95" s="152"/>
      <c r="W95" s="147"/>
      <c r="X95" s="147"/>
      <c r="Y95" s="141"/>
      <c r="Z95" s="141"/>
      <c r="AA95" s="141"/>
      <c r="AB95" s="141"/>
      <c r="AC95" s="141"/>
      <c r="AD95" s="160"/>
      <c r="AE95" s="153"/>
      <c r="AF95" s="153"/>
      <c r="AG95" s="141"/>
      <c r="AH95" s="141"/>
      <c r="AI95" s="141"/>
      <c r="AJ95" s="141"/>
      <c r="AK95" s="147"/>
      <c r="AL95" s="141"/>
      <c r="AM95" s="141" t="str">
        <f t="shared" ca="1" si="4"/>
        <v>Desactualizado</v>
      </c>
      <c r="AN95" s="190">
        <f t="shared" si="5"/>
        <v>0</v>
      </c>
      <c r="AO95" s="193">
        <f t="shared" ca="1" si="6"/>
        <v>-1505.5666666666666</v>
      </c>
      <c r="AP95" s="195" t="str">
        <f t="shared" ca="1" si="7"/>
        <v>Vencida</v>
      </c>
    </row>
    <row r="96" spans="1:42" s="136" customFormat="1" ht="29.25" customHeight="1" x14ac:dyDescent="0.3">
      <c r="A96" s="147"/>
      <c r="B96" s="141"/>
      <c r="C96" s="141"/>
      <c r="D96" s="141"/>
      <c r="E96" s="141"/>
      <c r="F96" s="141"/>
      <c r="G96" s="141"/>
      <c r="H96" s="141"/>
      <c r="I96" s="162"/>
      <c r="J96" s="148"/>
      <c r="K96" s="148"/>
      <c r="L96" s="148"/>
      <c r="M96" s="158"/>
      <c r="N96" s="158"/>
      <c r="O96" s="141"/>
      <c r="P96" s="141"/>
      <c r="Q96" s="147"/>
      <c r="R96" s="147"/>
      <c r="S96" s="147"/>
      <c r="T96" s="147"/>
      <c r="U96" s="147"/>
      <c r="V96" s="152"/>
      <c r="W96" s="147"/>
      <c r="X96" s="147"/>
      <c r="Y96" s="141"/>
      <c r="Z96" s="141"/>
      <c r="AA96" s="141"/>
      <c r="AB96" s="141"/>
      <c r="AC96" s="141"/>
      <c r="AD96" s="160"/>
      <c r="AE96" s="153"/>
      <c r="AF96" s="153"/>
      <c r="AG96" s="141"/>
      <c r="AH96" s="141"/>
      <c r="AI96" s="141"/>
      <c r="AJ96" s="141"/>
      <c r="AK96" s="147"/>
      <c r="AL96" s="141"/>
      <c r="AM96" s="141" t="str">
        <f t="shared" ca="1" si="4"/>
        <v>Desactualizado</v>
      </c>
      <c r="AN96" s="190">
        <f t="shared" si="5"/>
        <v>0</v>
      </c>
      <c r="AO96" s="193">
        <f t="shared" ca="1" si="6"/>
        <v>-1505.5666666666666</v>
      </c>
      <c r="AP96" s="195" t="str">
        <f t="shared" ca="1" si="7"/>
        <v>Vencida</v>
      </c>
    </row>
    <row r="97" spans="1:42" s="136" customFormat="1" ht="29.25" customHeight="1" x14ac:dyDescent="0.3">
      <c r="A97" s="147"/>
      <c r="B97" s="148"/>
      <c r="C97" s="148"/>
      <c r="D97" s="148"/>
      <c r="E97" s="141"/>
      <c r="F97" s="141"/>
      <c r="G97" s="141"/>
      <c r="H97" s="141"/>
      <c r="I97" s="148"/>
      <c r="J97" s="148"/>
      <c r="K97" s="148"/>
      <c r="L97" s="148"/>
      <c r="M97" s="158"/>
      <c r="N97" s="158"/>
      <c r="O97" s="141"/>
      <c r="P97" s="141"/>
      <c r="Q97" s="147"/>
      <c r="R97" s="147"/>
      <c r="S97" s="147"/>
      <c r="T97" s="147"/>
      <c r="U97" s="147"/>
      <c r="V97" s="152"/>
      <c r="W97" s="147"/>
      <c r="X97" s="147"/>
      <c r="Y97" s="141"/>
      <c r="Z97" s="141"/>
      <c r="AA97" s="141"/>
      <c r="AB97" s="141"/>
      <c r="AC97" s="141"/>
      <c r="AD97" s="160"/>
      <c r="AE97" s="153"/>
      <c r="AF97" s="153"/>
      <c r="AG97" s="141"/>
      <c r="AH97" s="141"/>
      <c r="AI97" s="141"/>
      <c r="AJ97" s="141"/>
      <c r="AK97" s="147"/>
      <c r="AL97" s="141"/>
      <c r="AM97" s="141" t="str">
        <f t="shared" ca="1" si="4"/>
        <v>Desactualizado</v>
      </c>
      <c r="AN97" s="190">
        <f t="shared" si="5"/>
        <v>0</v>
      </c>
      <c r="AO97" s="193">
        <f t="shared" ca="1" si="6"/>
        <v>-1505.5666666666666</v>
      </c>
      <c r="AP97" s="195" t="str">
        <f t="shared" ca="1" si="7"/>
        <v>Vencida</v>
      </c>
    </row>
    <row r="98" spans="1:42" s="136" customFormat="1" ht="29.25" customHeight="1" x14ac:dyDescent="0.3">
      <c r="A98" s="147"/>
      <c r="B98" s="141"/>
      <c r="C98" s="141"/>
      <c r="D98" s="141"/>
      <c r="E98" s="141"/>
      <c r="F98" s="141"/>
      <c r="G98" s="141"/>
      <c r="H98" s="141"/>
      <c r="I98" s="148"/>
      <c r="J98" s="148"/>
      <c r="K98" s="148"/>
      <c r="L98" s="148"/>
      <c r="M98" s="158"/>
      <c r="N98" s="158"/>
      <c r="O98" s="141"/>
      <c r="P98" s="141"/>
      <c r="Q98" s="147"/>
      <c r="R98" s="147"/>
      <c r="S98" s="147"/>
      <c r="T98" s="147"/>
      <c r="U98" s="147"/>
      <c r="V98" s="152"/>
      <c r="W98" s="147"/>
      <c r="X98" s="147"/>
      <c r="Y98" s="141"/>
      <c r="Z98" s="141"/>
      <c r="AA98" s="141"/>
      <c r="AB98" s="141"/>
      <c r="AC98" s="141"/>
      <c r="AD98" s="160"/>
      <c r="AE98" s="153"/>
      <c r="AF98" s="153"/>
      <c r="AG98" s="141"/>
      <c r="AH98" s="141"/>
      <c r="AI98" s="141"/>
      <c r="AJ98" s="141"/>
      <c r="AK98" s="147"/>
      <c r="AL98" s="141"/>
      <c r="AM98" s="141" t="str">
        <f t="shared" ca="1" si="4"/>
        <v>Desactualizado</v>
      </c>
      <c r="AN98" s="190">
        <f t="shared" si="5"/>
        <v>0</v>
      </c>
      <c r="AO98" s="193">
        <f t="shared" ca="1" si="6"/>
        <v>-1505.5666666666666</v>
      </c>
      <c r="AP98" s="195" t="str">
        <f t="shared" ca="1" si="7"/>
        <v>Vencida</v>
      </c>
    </row>
    <row r="99" spans="1:42" s="136" customFormat="1" ht="29.25" customHeight="1" x14ac:dyDescent="0.3">
      <c r="A99" s="147"/>
      <c r="B99" s="141"/>
      <c r="C99" s="141"/>
      <c r="D99" s="141"/>
      <c r="E99" s="141"/>
      <c r="F99" s="141"/>
      <c r="G99" s="141"/>
      <c r="H99" s="141"/>
      <c r="I99" s="148"/>
      <c r="J99" s="148"/>
      <c r="K99" s="148"/>
      <c r="L99" s="148"/>
      <c r="M99" s="158"/>
      <c r="N99" s="158"/>
      <c r="O99" s="141"/>
      <c r="P99" s="141"/>
      <c r="Q99" s="147"/>
      <c r="R99" s="147"/>
      <c r="S99" s="147"/>
      <c r="T99" s="147"/>
      <c r="U99" s="147"/>
      <c r="V99" s="152"/>
      <c r="W99" s="147"/>
      <c r="X99" s="147"/>
      <c r="Y99" s="141"/>
      <c r="Z99" s="141"/>
      <c r="AA99" s="141"/>
      <c r="AB99" s="141"/>
      <c r="AC99" s="141"/>
      <c r="AD99" s="160"/>
      <c r="AE99" s="153"/>
      <c r="AF99" s="153"/>
      <c r="AG99" s="141"/>
      <c r="AH99" s="141"/>
      <c r="AI99" s="141"/>
      <c r="AJ99" s="141"/>
      <c r="AK99" s="147"/>
      <c r="AL99" s="141"/>
      <c r="AM99" s="141" t="str">
        <f t="shared" ca="1" si="4"/>
        <v>Desactualizado</v>
      </c>
      <c r="AN99" s="190">
        <f t="shared" si="5"/>
        <v>0</v>
      </c>
      <c r="AO99" s="193">
        <f t="shared" ca="1" si="6"/>
        <v>-1505.5666666666666</v>
      </c>
      <c r="AP99" s="195" t="str">
        <f t="shared" ca="1" si="7"/>
        <v>Vencida</v>
      </c>
    </row>
    <row r="100" spans="1:42" s="136" customFormat="1" ht="29.25" customHeight="1" x14ac:dyDescent="0.3">
      <c r="A100" s="147"/>
      <c r="B100" s="141"/>
      <c r="C100" s="141"/>
      <c r="D100" s="141"/>
      <c r="E100" s="141"/>
      <c r="F100" s="141"/>
      <c r="G100" s="141"/>
      <c r="H100" s="141"/>
      <c r="I100" s="148"/>
      <c r="J100" s="148"/>
      <c r="K100" s="148"/>
      <c r="L100" s="148"/>
      <c r="M100" s="158"/>
      <c r="N100" s="158"/>
      <c r="O100" s="141"/>
      <c r="P100" s="141"/>
      <c r="Q100" s="147"/>
      <c r="R100" s="147"/>
      <c r="S100" s="147"/>
      <c r="T100" s="147"/>
      <c r="U100" s="147"/>
      <c r="V100" s="152"/>
      <c r="W100" s="147"/>
      <c r="X100" s="147"/>
      <c r="Y100" s="141"/>
      <c r="Z100" s="141"/>
      <c r="AA100" s="141"/>
      <c r="AB100" s="141"/>
      <c r="AC100" s="141"/>
      <c r="AD100" s="160"/>
      <c r="AE100" s="153"/>
      <c r="AF100" s="153"/>
      <c r="AG100" s="141"/>
      <c r="AH100" s="141"/>
      <c r="AI100" s="141"/>
      <c r="AJ100" s="141"/>
      <c r="AK100" s="147"/>
      <c r="AL100" s="141"/>
      <c r="AM100" s="141" t="str">
        <f t="shared" ca="1" si="4"/>
        <v>Desactualizado</v>
      </c>
      <c r="AN100" s="190">
        <f t="shared" si="5"/>
        <v>0</v>
      </c>
      <c r="AO100" s="193">
        <f t="shared" ca="1" si="6"/>
        <v>-1505.5666666666666</v>
      </c>
      <c r="AP100" s="195" t="str">
        <f t="shared" ca="1" si="7"/>
        <v>Vencida</v>
      </c>
    </row>
    <row r="101" spans="1:42" s="136" customFormat="1" ht="29.25" customHeight="1" x14ac:dyDescent="0.3">
      <c r="A101" s="147"/>
      <c r="B101" s="141"/>
      <c r="C101" s="141"/>
      <c r="D101" s="141"/>
      <c r="E101" s="141"/>
      <c r="F101" s="141"/>
      <c r="G101" s="141"/>
      <c r="H101" s="141"/>
      <c r="I101" s="148"/>
      <c r="J101" s="162"/>
      <c r="K101" s="148"/>
      <c r="L101" s="162"/>
      <c r="M101" s="163"/>
      <c r="N101" s="163"/>
      <c r="O101" s="141"/>
      <c r="P101" s="141"/>
      <c r="Q101" s="147"/>
      <c r="R101" s="147"/>
      <c r="S101" s="147"/>
      <c r="T101" s="147"/>
      <c r="U101" s="147"/>
      <c r="V101" s="152"/>
      <c r="W101" s="147"/>
      <c r="X101" s="147"/>
      <c r="Y101" s="141"/>
      <c r="Z101" s="141"/>
      <c r="AA101" s="141"/>
      <c r="AB101" s="141"/>
      <c r="AC101" s="141"/>
      <c r="AD101" s="160"/>
      <c r="AE101" s="153"/>
      <c r="AF101" s="153"/>
      <c r="AG101" s="141"/>
      <c r="AH101" s="141"/>
      <c r="AI101" s="141"/>
      <c r="AJ101" s="141"/>
      <c r="AK101" s="147"/>
      <c r="AL101" s="141"/>
      <c r="AM101" s="141" t="str">
        <f t="shared" ca="1" si="4"/>
        <v>Desactualizado</v>
      </c>
      <c r="AN101" s="190">
        <f t="shared" si="5"/>
        <v>0</v>
      </c>
      <c r="AO101" s="193">
        <f t="shared" ca="1" si="6"/>
        <v>-1505.5666666666666</v>
      </c>
      <c r="AP101" s="195" t="str">
        <f t="shared" ca="1" si="7"/>
        <v>Vencida</v>
      </c>
    </row>
    <row r="102" spans="1:42" s="136" customFormat="1" ht="29.25" customHeight="1" x14ac:dyDescent="0.3">
      <c r="A102" s="147"/>
      <c r="B102" s="141"/>
      <c r="C102" s="141"/>
      <c r="D102" s="141"/>
      <c r="E102" s="141"/>
      <c r="F102" s="141"/>
      <c r="G102" s="141"/>
      <c r="H102" s="141"/>
      <c r="I102" s="148"/>
      <c r="J102" s="148"/>
      <c r="K102" s="148"/>
      <c r="L102" s="148"/>
      <c r="M102" s="158"/>
      <c r="N102" s="158"/>
      <c r="O102" s="141"/>
      <c r="P102" s="141"/>
      <c r="Q102" s="147"/>
      <c r="R102" s="147"/>
      <c r="S102" s="147"/>
      <c r="T102" s="147"/>
      <c r="U102" s="147"/>
      <c r="V102" s="152"/>
      <c r="W102" s="147"/>
      <c r="X102" s="147"/>
      <c r="Y102" s="141"/>
      <c r="Z102" s="141"/>
      <c r="AA102" s="141"/>
      <c r="AB102" s="141"/>
      <c r="AC102" s="141"/>
      <c r="AD102" s="160"/>
      <c r="AE102" s="153"/>
      <c r="AF102" s="153"/>
      <c r="AG102" s="141"/>
      <c r="AH102" s="141"/>
      <c r="AI102" s="141"/>
      <c r="AJ102" s="141"/>
      <c r="AK102" s="147"/>
      <c r="AL102" s="141"/>
      <c r="AM102" s="141" t="str">
        <f t="shared" ca="1" si="4"/>
        <v>Desactualizado</v>
      </c>
      <c r="AN102" s="190">
        <f t="shared" si="5"/>
        <v>0</v>
      </c>
      <c r="AO102" s="193">
        <f t="shared" ca="1" si="6"/>
        <v>-1505.5666666666666</v>
      </c>
      <c r="AP102" s="195" t="str">
        <f t="shared" ca="1" si="7"/>
        <v>Vencida</v>
      </c>
    </row>
    <row r="103" spans="1:42" s="136" customFormat="1" ht="29.25" customHeight="1" x14ac:dyDescent="0.3">
      <c r="A103" s="147"/>
      <c r="B103" s="141"/>
      <c r="C103" s="141"/>
      <c r="D103" s="141"/>
      <c r="E103" s="141"/>
      <c r="F103" s="141"/>
      <c r="G103" s="141"/>
      <c r="H103" s="141"/>
      <c r="I103" s="148"/>
      <c r="J103" s="148"/>
      <c r="K103" s="148"/>
      <c r="L103" s="148"/>
      <c r="M103" s="158"/>
      <c r="N103" s="158"/>
      <c r="O103" s="141"/>
      <c r="P103" s="141"/>
      <c r="Q103" s="147"/>
      <c r="R103" s="147"/>
      <c r="S103" s="147"/>
      <c r="T103" s="147"/>
      <c r="U103" s="147"/>
      <c r="V103" s="152"/>
      <c r="W103" s="147"/>
      <c r="X103" s="147"/>
      <c r="Y103" s="141"/>
      <c r="Z103" s="141"/>
      <c r="AA103" s="141"/>
      <c r="AB103" s="141"/>
      <c r="AC103" s="141"/>
      <c r="AD103" s="160"/>
      <c r="AE103" s="153"/>
      <c r="AF103" s="153"/>
      <c r="AG103" s="141"/>
      <c r="AH103" s="141"/>
      <c r="AI103" s="141"/>
      <c r="AJ103" s="141"/>
      <c r="AK103" s="147"/>
      <c r="AL103" s="141"/>
      <c r="AM103" s="141" t="str">
        <f t="shared" ca="1" si="4"/>
        <v>Desactualizado</v>
      </c>
      <c r="AN103" s="190">
        <f t="shared" si="5"/>
        <v>0</v>
      </c>
      <c r="AO103" s="193">
        <f t="shared" ca="1" si="6"/>
        <v>-1505.5666666666666</v>
      </c>
      <c r="AP103" s="195" t="str">
        <f t="shared" ca="1" si="7"/>
        <v>Vencida</v>
      </c>
    </row>
    <row r="104" spans="1:42" s="136" customFormat="1" ht="29.25" customHeight="1" x14ac:dyDescent="0.3">
      <c r="A104" s="147"/>
      <c r="B104" s="141"/>
      <c r="C104" s="141"/>
      <c r="D104" s="141"/>
      <c r="E104" s="141"/>
      <c r="F104" s="141"/>
      <c r="G104" s="141"/>
      <c r="H104" s="141"/>
      <c r="I104" s="148"/>
      <c r="J104" s="148"/>
      <c r="K104" s="148"/>
      <c r="L104" s="148"/>
      <c r="M104" s="158"/>
      <c r="N104" s="158"/>
      <c r="O104" s="141"/>
      <c r="P104" s="141"/>
      <c r="Q104" s="147"/>
      <c r="R104" s="147"/>
      <c r="S104" s="147"/>
      <c r="T104" s="147"/>
      <c r="U104" s="147"/>
      <c r="V104" s="152"/>
      <c r="W104" s="147"/>
      <c r="X104" s="147"/>
      <c r="Y104" s="141"/>
      <c r="Z104" s="141"/>
      <c r="AA104" s="141"/>
      <c r="AB104" s="141"/>
      <c r="AC104" s="141"/>
      <c r="AD104" s="160"/>
      <c r="AE104" s="153"/>
      <c r="AF104" s="153"/>
      <c r="AG104" s="141"/>
      <c r="AH104" s="141"/>
      <c r="AI104" s="141"/>
      <c r="AJ104" s="141"/>
      <c r="AK104" s="147"/>
      <c r="AL104" s="161"/>
      <c r="AM104" s="141" t="str">
        <f t="shared" ca="1" si="4"/>
        <v>Desactualizado</v>
      </c>
      <c r="AN104" s="190">
        <f t="shared" si="5"/>
        <v>0</v>
      </c>
      <c r="AO104" s="193">
        <f t="shared" ca="1" si="6"/>
        <v>-1505.5666666666666</v>
      </c>
      <c r="AP104" s="195" t="str">
        <f t="shared" ca="1" si="7"/>
        <v>Vencida</v>
      </c>
    </row>
    <row r="105" spans="1:42" s="136" customFormat="1" ht="29.25" customHeight="1" x14ac:dyDescent="0.3">
      <c r="A105" s="147"/>
      <c r="B105" s="141"/>
      <c r="C105" s="141"/>
      <c r="D105" s="141"/>
      <c r="E105" s="141"/>
      <c r="F105" s="141"/>
      <c r="G105" s="141"/>
      <c r="H105" s="141"/>
      <c r="I105" s="148"/>
      <c r="J105" s="148"/>
      <c r="K105" s="148"/>
      <c r="L105" s="148"/>
      <c r="M105" s="158"/>
      <c r="N105" s="158"/>
      <c r="O105" s="141"/>
      <c r="P105" s="141"/>
      <c r="Q105" s="147"/>
      <c r="R105" s="147"/>
      <c r="S105" s="147"/>
      <c r="T105" s="147"/>
      <c r="U105" s="147"/>
      <c r="V105" s="152"/>
      <c r="W105" s="147"/>
      <c r="X105" s="147"/>
      <c r="Y105" s="141"/>
      <c r="Z105" s="141"/>
      <c r="AA105" s="141"/>
      <c r="AB105" s="141"/>
      <c r="AC105" s="141"/>
      <c r="AD105" s="160"/>
      <c r="AE105" s="153"/>
      <c r="AF105" s="153"/>
      <c r="AG105" s="141"/>
      <c r="AH105" s="141"/>
      <c r="AI105" s="141"/>
      <c r="AJ105" s="141"/>
      <c r="AK105" s="147"/>
      <c r="AL105" s="141"/>
      <c r="AM105" s="141" t="str">
        <f t="shared" ca="1" si="4"/>
        <v>Desactualizado</v>
      </c>
      <c r="AN105" s="190">
        <f t="shared" si="5"/>
        <v>0</v>
      </c>
      <c r="AO105" s="193">
        <f t="shared" ca="1" si="6"/>
        <v>-1505.5666666666666</v>
      </c>
      <c r="AP105" s="195" t="str">
        <f t="shared" ca="1" si="7"/>
        <v>Vencida</v>
      </c>
    </row>
    <row r="106" spans="1:42" s="136" customFormat="1" ht="29.25" customHeight="1" x14ac:dyDescent="0.3">
      <c r="A106" s="147"/>
      <c r="B106" s="141"/>
      <c r="C106" s="141"/>
      <c r="D106" s="141"/>
      <c r="E106" s="141"/>
      <c r="F106" s="141"/>
      <c r="G106" s="141"/>
      <c r="H106" s="141"/>
      <c r="I106" s="148"/>
      <c r="J106" s="148"/>
      <c r="K106" s="148"/>
      <c r="L106" s="148"/>
      <c r="M106" s="158"/>
      <c r="N106" s="158"/>
      <c r="O106" s="141"/>
      <c r="P106" s="141"/>
      <c r="Q106" s="147"/>
      <c r="R106" s="147"/>
      <c r="S106" s="147"/>
      <c r="T106" s="147"/>
      <c r="U106" s="147"/>
      <c r="V106" s="152"/>
      <c r="W106" s="147"/>
      <c r="X106" s="147"/>
      <c r="Y106" s="141"/>
      <c r="Z106" s="141"/>
      <c r="AA106" s="141"/>
      <c r="AB106" s="141"/>
      <c r="AC106" s="141"/>
      <c r="AD106" s="160"/>
      <c r="AE106" s="153"/>
      <c r="AF106" s="153"/>
      <c r="AG106" s="141"/>
      <c r="AH106" s="141"/>
      <c r="AI106" s="141"/>
      <c r="AJ106" s="141"/>
      <c r="AK106" s="147"/>
      <c r="AL106" s="141"/>
      <c r="AM106" s="141" t="str">
        <f t="shared" ca="1" si="4"/>
        <v>Desactualizado</v>
      </c>
      <c r="AN106" s="190">
        <f t="shared" si="5"/>
        <v>0</v>
      </c>
      <c r="AO106" s="193">
        <f t="shared" ca="1" si="6"/>
        <v>-1505.5666666666666</v>
      </c>
      <c r="AP106" s="195" t="str">
        <f t="shared" ca="1" si="7"/>
        <v>Vencida</v>
      </c>
    </row>
    <row r="107" spans="1:42" s="136" customFormat="1" ht="29.25" customHeight="1" x14ac:dyDescent="0.3">
      <c r="A107" s="147"/>
      <c r="B107" s="148"/>
      <c r="C107" s="148"/>
      <c r="D107" s="148"/>
      <c r="E107" s="141"/>
      <c r="F107" s="141"/>
      <c r="G107" s="141"/>
      <c r="H107" s="141"/>
      <c r="I107" s="148"/>
      <c r="J107" s="148"/>
      <c r="K107" s="148"/>
      <c r="L107" s="148"/>
      <c r="M107" s="158"/>
      <c r="N107" s="158"/>
      <c r="O107" s="141"/>
      <c r="P107" s="141"/>
      <c r="Q107" s="147"/>
      <c r="R107" s="147"/>
      <c r="S107" s="147"/>
      <c r="T107" s="147"/>
      <c r="U107" s="147"/>
      <c r="V107" s="152"/>
      <c r="W107" s="147"/>
      <c r="X107" s="147"/>
      <c r="Y107" s="141"/>
      <c r="Z107" s="141"/>
      <c r="AA107" s="141"/>
      <c r="AB107" s="141"/>
      <c r="AC107" s="141"/>
      <c r="AD107" s="160"/>
      <c r="AE107" s="153"/>
      <c r="AF107" s="153"/>
      <c r="AG107" s="141"/>
      <c r="AH107" s="141"/>
      <c r="AI107" s="141"/>
      <c r="AJ107" s="141"/>
      <c r="AK107" s="147"/>
      <c r="AL107" s="141"/>
      <c r="AM107" s="141" t="str">
        <f t="shared" ca="1" si="4"/>
        <v>Desactualizado</v>
      </c>
      <c r="AN107" s="190">
        <f t="shared" si="5"/>
        <v>0</v>
      </c>
      <c r="AO107" s="193">
        <f t="shared" ca="1" si="6"/>
        <v>-1505.5666666666666</v>
      </c>
      <c r="AP107" s="195" t="str">
        <f t="shared" ca="1" si="7"/>
        <v>Vencida</v>
      </c>
    </row>
    <row r="108" spans="1:42" s="136" customFormat="1" ht="29.25" customHeight="1" x14ac:dyDescent="0.3">
      <c r="A108" s="147"/>
      <c r="B108" s="141"/>
      <c r="C108" s="141"/>
      <c r="D108" s="141"/>
      <c r="E108" s="141"/>
      <c r="F108" s="141"/>
      <c r="G108" s="141"/>
      <c r="H108" s="141"/>
      <c r="I108" s="148"/>
      <c r="J108" s="148"/>
      <c r="K108" s="148"/>
      <c r="L108" s="148"/>
      <c r="M108" s="158"/>
      <c r="N108" s="158"/>
      <c r="O108" s="141"/>
      <c r="P108" s="141"/>
      <c r="Q108" s="147"/>
      <c r="R108" s="147"/>
      <c r="S108" s="147"/>
      <c r="T108" s="147"/>
      <c r="U108" s="147"/>
      <c r="V108" s="152"/>
      <c r="W108" s="147"/>
      <c r="X108" s="147"/>
      <c r="Y108" s="141"/>
      <c r="Z108" s="141"/>
      <c r="AA108" s="141"/>
      <c r="AB108" s="141"/>
      <c r="AC108" s="141"/>
      <c r="AD108" s="160"/>
      <c r="AE108" s="153"/>
      <c r="AF108" s="153"/>
      <c r="AG108" s="141"/>
      <c r="AH108" s="141"/>
      <c r="AI108" s="141"/>
      <c r="AJ108" s="141"/>
      <c r="AK108" s="147"/>
      <c r="AL108" s="141"/>
      <c r="AM108" s="141" t="str">
        <f t="shared" ca="1" si="4"/>
        <v>Desactualizado</v>
      </c>
      <c r="AN108" s="190">
        <f t="shared" si="5"/>
        <v>0</v>
      </c>
      <c r="AO108" s="193">
        <f t="shared" ca="1" si="6"/>
        <v>-1505.5666666666666</v>
      </c>
      <c r="AP108" s="195" t="str">
        <f t="shared" ca="1" si="7"/>
        <v>Vencida</v>
      </c>
    </row>
    <row r="109" spans="1:42" s="136" customFormat="1" ht="29.25" customHeight="1" x14ac:dyDescent="0.3">
      <c r="A109" s="147"/>
      <c r="B109" s="141"/>
      <c r="C109" s="141"/>
      <c r="D109" s="141"/>
      <c r="E109" s="141"/>
      <c r="F109" s="141"/>
      <c r="G109" s="141"/>
      <c r="H109" s="141"/>
      <c r="I109" s="148"/>
      <c r="J109" s="148"/>
      <c r="K109" s="148"/>
      <c r="L109" s="148"/>
      <c r="M109" s="158"/>
      <c r="N109" s="158"/>
      <c r="O109" s="141"/>
      <c r="P109" s="141"/>
      <c r="Q109" s="147"/>
      <c r="R109" s="147"/>
      <c r="S109" s="147"/>
      <c r="T109" s="147"/>
      <c r="U109" s="147"/>
      <c r="V109" s="152"/>
      <c r="W109" s="147"/>
      <c r="X109" s="147"/>
      <c r="Y109" s="141"/>
      <c r="Z109" s="141"/>
      <c r="AA109" s="141"/>
      <c r="AB109" s="141"/>
      <c r="AC109" s="141"/>
      <c r="AD109" s="160"/>
      <c r="AE109" s="153"/>
      <c r="AF109" s="153"/>
      <c r="AG109" s="141"/>
      <c r="AH109" s="141"/>
      <c r="AI109" s="141"/>
      <c r="AJ109" s="141"/>
      <c r="AK109" s="147"/>
      <c r="AL109" s="141"/>
      <c r="AM109" s="141" t="str">
        <f t="shared" ca="1" si="4"/>
        <v>Desactualizado</v>
      </c>
      <c r="AN109" s="190">
        <f t="shared" si="5"/>
        <v>0</v>
      </c>
      <c r="AO109" s="193">
        <f t="shared" ca="1" si="6"/>
        <v>-1505.5666666666666</v>
      </c>
      <c r="AP109" s="195" t="str">
        <f t="shared" ca="1" si="7"/>
        <v>Vencida</v>
      </c>
    </row>
    <row r="110" spans="1:42" s="136" customFormat="1" ht="29.25" customHeight="1" x14ac:dyDescent="0.3">
      <c r="A110" s="147"/>
      <c r="B110" s="148"/>
      <c r="C110" s="148"/>
      <c r="D110" s="148"/>
      <c r="E110" s="141"/>
      <c r="F110" s="141"/>
      <c r="G110" s="141"/>
      <c r="H110" s="141"/>
      <c r="I110" s="162"/>
      <c r="J110" s="162"/>
      <c r="K110" s="148"/>
      <c r="L110" s="162"/>
      <c r="M110" s="163"/>
      <c r="N110" s="163"/>
      <c r="O110" s="141"/>
      <c r="P110" s="141"/>
      <c r="Q110" s="147"/>
      <c r="R110" s="147"/>
      <c r="S110" s="147"/>
      <c r="T110" s="147"/>
      <c r="U110" s="147"/>
      <c r="V110" s="152"/>
      <c r="W110" s="147"/>
      <c r="X110" s="147"/>
      <c r="Y110" s="141"/>
      <c r="Z110" s="141"/>
      <c r="AA110" s="141"/>
      <c r="AB110" s="141"/>
      <c r="AC110" s="141"/>
      <c r="AD110" s="160"/>
      <c r="AE110" s="153"/>
      <c r="AF110" s="153"/>
      <c r="AG110" s="141"/>
      <c r="AH110" s="141"/>
      <c r="AI110" s="141"/>
      <c r="AJ110" s="141"/>
      <c r="AK110" s="147"/>
      <c r="AL110" s="141"/>
      <c r="AM110" s="141" t="str">
        <f t="shared" ca="1" si="4"/>
        <v>Desactualizado</v>
      </c>
      <c r="AN110" s="190">
        <f t="shared" si="5"/>
        <v>0</v>
      </c>
      <c r="AO110" s="193">
        <f t="shared" ca="1" si="6"/>
        <v>-1505.5666666666666</v>
      </c>
      <c r="AP110" s="195" t="str">
        <f t="shared" ca="1" si="7"/>
        <v>Vencida</v>
      </c>
    </row>
    <row r="111" spans="1:42" s="136" customFormat="1" ht="29.25" customHeight="1" x14ac:dyDescent="0.3">
      <c r="A111" s="147"/>
      <c r="B111" s="141"/>
      <c r="C111" s="141"/>
      <c r="D111" s="141"/>
      <c r="E111" s="141"/>
      <c r="F111" s="141"/>
      <c r="G111" s="141"/>
      <c r="H111" s="141"/>
      <c r="I111" s="148"/>
      <c r="J111" s="148"/>
      <c r="K111" s="148"/>
      <c r="L111" s="148"/>
      <c r="M111" s="158"/>
      <c r="N111" s="158"/>
      <c r="O111" s="141"/>
      <c r="P111" s="147"/>
      <c r="Q111" s="147"/>
      <c r="R111" s="147"/>
      <c r="S111" s="147"/>
      <c r="T111" s="147"/>
      <c r="U111" s="147"/>
      <c r="V111" s="147"/>
      <c r="W111" s="147"/>
      <c r="X111" s="147"/>
      <c r="Y111" s="141"/>
      <c r="Z111" s="141"/>
      <c r="AA111" s="141"/>
      <c r="AB111" s="141"/>
      <c r="AC111" s="141"/>
      <c r="AD111" s="160"/>
      <c r="AE111" s="153"/>
      <c r="AF111" s="153"/>
      <c r="AG111" s="141"/>
      <c r="AH111" s="141"/>
      <c r="AI111" s="141"/>
      <c r="AJ111" s="141"/>
      <c r="AK111" s="147"/>
      <c r="AL111" s="175"/>
      <c r="AM111" s="141" t="str">
        <f t="shared" ca="1" si="4"/>
        <v>Desactualizado</v>
      </c>
      <c r="AN111" s="190">
        <f t="shared" si="5"/>
        <v>0</v>
      </c>
      <c r="AO111" s="193">
        <f t="shared" ca="1" si="6"/>
        <v>-1505.5666666666666</v>
      </c>
      <c r="AP111" s="195" t="str">
        <f t="shared" ca="1" si="7"/>
        <v>Vencida</v>
      </c>
    </row>
    <row r="112" spans="1:42" s="136" customFormat="1" ht="29.25" customHeight="1" x14ac:dyDescent="0.3">
      <c r="A112" s="147"/>
      <c r="B112" s="141"/>
      <c r="C112" s="141"/>
      <c r="D112" s="141"/>
      <c r="E112" s="141"/>
      <c r="F112" s="141"/>
      <c r="G112" s="141"/>
      <c r="H112" s="141"/>
      <c r="I112" s="148"/>
      <c r="J112" s="148"/>
      <c r="K112" s="148"/>
      <c r="L112" s="148"/>
      <c r="M112" s="158"/>
      <c r="N112" s="158"/>
      <c r="O112" s="141"/>
      <c r="P112" s="141"/>
      <c r="Q112" s="147"/>
      <c r="R112" s="147"/>
      <c r="S112" s="147"/>
      <c r="T112" s="147"/>
      <c r="U112" s="147"/>
      <c r="V112" s="152"/>
      <c r="W112" s="147"/>
      <c r="X112" s="147"/>
      <c r="Y112" s="141"/>
      <c r="Z112" s="141"/>
      <c r="AA112" s="141"/>
      <c r="AB112" s="141"/>
      <c r="AC112" s="141"/>
      <c r="AD112" s="160"/>
      <c r="AE112" s="153"/>
      <c r="AF112" s="153"/>
      <c r="AG112" s="141"/>
      <c r="AH112" s="141"/>
      <c r="AI112" s="141"/>
      <c r="AJ112" s="141"/>
      <c r="AK112" s="147"/>
      <c r="AL112" s="141"/>
      <c r="AM112" s="141" t="str">
        <f t="shared" ca="1" si="4"/>
        <v>Desactualizado</v>
      </c>
      <c r="AN112" s="190">
        <f t="shared" si="5"/>
        <v>0</v>
      </c>
      <c r="AO112" s="193">
        <f t="shared" ca="1" si="6"/>
        <v>-1505.5666666666666</v>
      </c>
      <c r="AP112" s="195" t="str">
        <f t="shared" ca="1" si="7"/>
        <v>Vencida</v>
      </c>
    </row>
    <row r="113" spans="1:42" s="136" customFormat="1" ht="29.25" customHeight="1" x14ac:dyDescent="0.3">
      <c r="A113" s="147"/>
      <c r="B113" s="141"/>
      <c r="C113" s="141"/>
      <c r="D113" s="141"/>
      <c r="E113" s="141"/>
      <c r="F113" s="141"/>
      <c r="G113" s="141"/>
      <c r="H113" s="141"/>
      <c r="I113" s="148"/>
      <c r="J113" s="148"/>
      <c r="K113" s="148"/>
      <c r="L113" s="148"/>
      <c r="M113" s="148"/>
      <c r="N113" s="148"/>
      <c r="O113" s="141"/>
      <c r="P113" s="141"/>
      <c r="Q113" s="147"/>
      <c r="R113" s="147"/>
      <c r="S113" s="147"/>
      <c r="T113" s="147"/>
      <c r="U113" s="147"/>
      <c r="V113" s="152"/>
      <c r="W113" s="147"/>
      <c r="X113" s="147"/>
      <c r="Y113" s="141"/>
      <c r="Z113" s="141"/>
      <c r="AA113" s="141"/>
      <c r="AB113" s="141"/>
      <c r="AC113" s="141"/>
      <c r="AD113" s="160"/>
      <c r="AE113" s="153"/>
      <c r="AF113" s="153"/>
      <c r="AG113" s="141"/>
      <c r="AH113" s="141"/>
      <c r="AI113" s="141"/>
      <c r="AJ113" s="141"/>
      <c r="AK113" s="147"/>
      <c r="AL113" s="141"/>
      <c r="AM113" s="141" t="str">
        <f t="shared" ca="1" si="4"/>
        <v>Desactualizado</v>
      </c>
      <c r="AN113" s="190">
        <f t="shared" si="5"/>
        <v>0</v>
      </c>
      <c r="AO113" s="193">
        <f t="shared" ca="1" si="6"/>
        <v>-1505.5666666666666</v>
      </c>
      <c r="AP113" s="195" t="str">
        <f t="shared" ca="1" si="7"/>
        <v>Vencida</v>
      </c>
    </row>
    <row r="114" spans="1:42" s="136" customFormat="1" ht="29.25" customHeight="1" x14ac:dyDescent="0.3">
      <c r="A114" s="147"/>
      <c r="B114" s="141"/>
      <c r="C114" s="141"/>
      <c r="D114" s="141"/>
      <c r="E114" s="141"/>
      <c r="F114" s="141"/>
      <c r="G114" s="141"/>
      <c r="H114" s="141"/>
      <c r="I114" s="148"/>
      <c r="J114" s="148"/>
      <c r="K114" s="148"/>
      <c r="L114" s="148"/>
      <c r="M114" s="148"/>
      <c r="N114" s="148"/>
      <c r="O114" s="141"/>
      <c r="P114" s="141"/>
      <c r="Q114" s="147"/>
      <c r="R114" s="147"/>
      <c r="S114" s="147"/>
      <c r="T114" s="147"/>
      <c r="U114" s="147"/>
      <c r="V114" s="152"/>
      <c r="W114" s="147"/>
      <c r="X114" s="147"/>
      <c r="Y114" s="141"/>
      <c r="Z114" s="141"/>
      <c r="AA114" s="141"/>
      <c r="AB114" s="141"/>
      <c r="AC114" s="141"/>
      <c r="AD114" s="160"/>
      <c r="AE114" s="153"/>
      <c r="AF114" s="153"/>
      <c r="AG114" s="141"/>
      <c r="AH114" s="141"/>
      <c r="AI114" s="141"/>
      <c r="AJ114" s="141"/>
      <c r="AK114" s="147"/>
      <c r="AL114" s="141"/>
      <c r="AM114" s="141" t="str">
        <f t="shared" ca="1" si="4"/>
        <v>Desactualizado</v>
      </c>
      <c r="AN114" s="190">
        <f t="shared" si="5"/>
        <v>0</v>
      </c>
      <c r="AO114" s="193">
        <f t="shared" ca="1" si="6"/>
        <v>-1505.5666666666666</v>
      </c>
      <c r="AP114" s="195" t="str">
        <f t="shared" ca="1" si="7"/>
        <v>Vencida</v>
      </c>
    </row>
    <row r="115" spans="1:42" s="136" customFormat="1" ht="29.25" customHeight="1" x14ac:dyDescent="0.3">
      <c r="A115" s="147"/>
      <c r="B115" s="141"/>
      <c r="C115" s="141"/>
      <c r="D115" s="141"/>
      <c r="E115" s="141"/>
      <c r="F115" s="141"/>
      <c r="G115" s="141"/>
      <c r="H115" s="141"/>
      <c r="I115" s="148"/>
      <c r="J115" s="148"/>
      <c r="K115" s="148"/>
      <c r="L115" s="148"/>
      <c r="M115" s="148"/>
      <c r="N115" s="148"/>
      <c r="O115" s="141"/>
      <c r="P115" s="141"/>
      <c r="Q115" s="147"/>
      <c r="R115" s="147"/>
      <c r="S115" s="147"/>
      <c r="T115" s="147"/>
      <c r="U115" s="147"/>
      <c r="V115" s="152"/>
      <c r="W115" s="147"/>
      <c r="X115" s="147"/>
      <c r="Y115" s="141"/>
      <c r="Z115" s="141"/>
      <c r="AA115" s="141"/>
      <c r="AB115" s="141"/>
      <c r="AC115" s="141"/>
      <c r="AD115" s="160"/>
      <c r="AE115" s="153"/>
      <c r="AF115" s="153"/>
      <c r="AG115" s="141"/>
      <c r="AH115" s="141"/>
      <c r="AI115" s="141"/>
      <c r="AJ115" s="141"/>
      <c r="AK115" s="147"/>
      <c r="AL115" s="141"/>
      <c r="AM115" s="141" t="str">
        <f t="shared" ca="1" si="4"/>
        <v>Desactualizado</v>
      </c>
      <c r="AN115" s="190">
        <f t="shared" si="5"/>
        <v>0</v>
      </c>
      <c r="AO115" s="193">
        <f t="shared" ca="1" si="6"/>
        <v>-1505.5666666666666</v>
      </c>
      <c r="AP115" s="195" t="str">
        <f t="shared" ca="1" si="7"/>
        <v>Vencida</v>
      </c>
    </row>
    <row r="116" spans="1:42" s="136" customFormat="1" ht="29.25" customHeight="1" x14ac:dyDescent="0.3">
      <c r="A116" s="147"/>
      <c r="B116" s="141"/>
      <c r="C116" s="141"/>
      <c r="D116" s="141"/>
      <c r="E116" s="141"/>
      <c r="F116" s="141"/>
      <c r="G116" s="141"/>
      <c r="H116" s="141"/>
      <c r="I116" s="148"/>
      <c r="J116" s="148"/>
      <c r="K116" s="148"/>
      <c r="L116" s="148"/>
      <c r="M116" s="148"/>
      <c r="N116" s="148"/>
      <c r="O116" s="141"/>
      <c r="P116" s="141"/>
      <c r="Q116" s="147"/>
      <c r="R116" s="147"/>
      <c r="S116" s="147"/>
      <c r="T116" s="147"/>
      <c r="U116" s="147"/>
      <c r="V116" s="152"/>
      <c r="W116" s="147"/>
      <c r="X116" s="147"/>
      <c r="Y116" s="141"/>
      <c r="Z116" s="141"/>
      <c r="AA116" s="141"/>
      <c r="AB116" s="141"/>
      <c r="AC116" s="141"/>
      <c r="AD116" s="160"/>
      <c r="AE116" s="153"/>
      <c r="AF116" s="153"/>
      <c r="AG116" s="141"/>
      <c r="AH116" s="141"/>
      <c r="AI116" s="141"/>
      <c r="AJ116" s="141"/>
      <c r="AK116" s="147"/>
      <c r="AL116" s="141"/>
      <c r="AM116" s="141" t="str">
        <f t="shared" ca="1" si="4"/>
        <v>Desactualizado</v>
      </c>
      <c r="AN116" s="190">
        <f t="shared" si="5"/>
        <v>0</v>
      </c>
      <c r="AO116" s="193">
        <f t="shared" ca="1" si="6"/>
        <v>-1505.5666666666666</v>
      </c>
      <c r="AP116" s="195" t="str">
        <f t="shared" ca="1" si="7"/>
        <v>Vencida</v>
      </c>
    </row>
    <row r="117" spans="1:42" s="136" customFormat="1" ht="29.25" customHeight="1" x14ac:dyDescent="0.3">
      <c r="A117" s="147"/>
      <c r="B117" s="148"/>
      <c r="C117" s="148"/>
      <c r="D117" s="148"/>
      <c r="E117" s="141"/>
      <c r="F117" s="141"/>
      <c r="G117" s="141"/>
      <c r="H117" s="141"/>
      <c r="I117" s="148"/>
      <c r="J117" s="148"/>
      <c r="K117" s="148"/>
      <c r="L117" s="148"/>
      <c r="M117" s="148"/>
      <c r="N117" s="148"/>
      <c r="O117" s="141"/>
      <c r="P117" s="141"/>
      <c r="Q117" s="147"/>
      <c r="R117" s="147"/>
      <c r="S117" s="147"/>
      <c r="T117" s="147"/>
      <c r="U117" s="147"/>
      <c r="V117" s="152"/>
      <c r="W117" s="147"/>
      <c r="X117" s="147"/>
      <c r="Y117" s="141"/>
      <c r="Z117" s="141"/>
      <c r="AA117" s="141"/>
      <c r="AB117" s="141"/>
      <c r="AC117" s="141"/>
      <c r="AD117" s="160"/>
      <c r="AE117" s="153"/>
      <c r="AF117" s="153"/>
      <c r="AG117" s="141"/>
      <c r="AH117" s="141"/>
      <c r="AI117" s="141"/>
      <c r="AJ117" s="141"/>
      <c r="AK117" s="147"/>
      <c r="AL117" s="141"/>
      <c r="AM117" s="141" t="str">
        <f t="shared" ca="1" si="4"/>
        <v>Desactualizado</v>
      </c>
      <c r="AN117" s="190">
        <f t="shared" si="5"/>
        <v>0</v>
      </c>
      <c r="AO117" s="193">
        <f t="shared" ca="1" si="6"/>
        <v>-1505.5666666666666</v>
      </c>
      <c r="AP117" s="195" t="str">
        <f t="shared" ca="1" si="7"/>
        <v>Vencida</v>
      </c>
    </row>
    <row r="118" spans="1:42" s="136" customFormat="1" ht="29.25" customHeight="1" x14ac:dyDescent="0.3">
      <c r="A118" s="147"/>
      <c r="B118" s="141"/>
      <c r="C118" s="141"/>
      <c r="D118" s="141"/>
      <c r="E118" s="141"/>
      <c r="F118" s="141"/>
      <c r="G118" s="141"/>
      <c r="H118" s="141"/>
      <c r="I118" s="148"/>
      <c r="J118" s="148"/>
      <c r="K118" s="148"/>
      <c r="L118" s="148"/>
      <c r="M118" s="148"/>
      <c r="N118" s="148"/>
      <c r="O118" s="141"/>
      <c r="P118" s="141"/>
      <c r="Q118" s="147"/>
      <c r="R118" s="147"/>
      <c r="S118" s="147"/>
      <c r="T118" s="147"/>
      <c r="U118" s="147"/>
      <c r="V118" s="152"/>
      <c r="W118" s="147"/>
      <c r="X118" s="147"/>
      <c r="Y118" s="141"/>
      <c r="Z118" s="141"/>
      <c r="AA118" s="141"/>
      <c r="AB118" s="141"/>
      <c r="AC118" s="141"/>
      <c r="AD118" s="160"/>
      <c r="AE118" s="153"/>
      <c r="AF118" s="153"/>
      <c r="AG118" s="141"/>
      <c r="AH118" s="141"/>
      <c r="AI118" s="141"/>
      <c r="AJ118" s="141"/>
      <c r="AK118" s="147"/>
      <c r="AL118" s="141"/>
      <c r="AM118" s="141" t="str">
        <f t="shared" ca="1" si="4"/>
        <v>Desactualizado</v>
      </c>
      <c r="AN118" s="190">
        <f t="shared" si="5"/>
        <v>0</v>
      </c>
      <c r="AO118" s="193">
        <f t="shared" ca="1" si="6"/>
        <v>-1505.5666666666666</v>
      </c>
      <c r="AP118" s="195" t="str">
        <f t="shared" ca="1" si="7"/>
        <v>Vencida</v>
      </c>
    </row>
    <row r="119" spans="1:42" s="138" customFormat="1" ht="29.25" customHeight="1" x14ac:dyDescent="0.3">
      <c r="A119" s="147"/>
      <c r="B119" s="141"/>
      <c r="C119" s="141"/>
      <c r="D119" s="141"/>
      <c r="E119" s="141"/>
      <c r="F119" s="141"/>
      <c r="G119" s="141"/>
      <c r="H119" s="141"/>
      <c r="I119" s="148"/>
      <c r="J119" s="148"/>
      <c r="K119" s="148"/>
      <c r="L119" s="148"/>
      <c r="M119" s="148"/>
      <c r="N119" s="148"/>
      <c r="O119" s="141"/>
      <c r="P119" s="141"/>
      <c r="Q119" s="147"/>
      <c r="R119" s="147"/>
      <c r="S119" s="147"/>
      <c r="T119" s="147"/>
      <c r="U119" s="147"/>
      <c r="V119" s="152"/>
      <c r="W119" s="147"/>
      <c r="X119" s="147"/>
      <c r="Y119" s="141"/>
      <c r="Z119" s="141"/>
      <c r="AA119" s="141"/>
      <c r="AB119" s="141"/>
      <c r="AC119" s="141"/>
      <c r="AD119" s="160"/>
      <c r="AE119" s="153"/>
      <c r="AF119" s="153"/>
      <c r="AG119" s="141"/>
      <c r="AH119" s="141"/>
      <c r="AI119" s="141"/>
      <c r="AJ119" s="141"/>
      <c r="AK119" s="147"/>
      <c r="AL119" s="147"/>
      <c r="AM119" s="141" t="str">
        <f t="shared" ca="1" si="4"/>
        <v>Desactualizado</v>
      </c>
      <c r="AN119" s="190">
        <f t="shared" si="5"/>
        <v>0</v>
      </c>
      <c r="AO119" s="193">
        <f t="shared" ca="1" si="6"/>
        <v>-1505.5666666666666</v>
      </c>
      <c r="AP119" s="195" t="str">
        <f t="shared" ca="1" si="7"/>
        <v>Vencida</v>
      </c>
    </row>
    <row r="120" spans="1:42" s="138" customFormat="1" ht="29.25" customHeight="1" x14ac:dyDescent="0.3">
      <c r="A120" s="147"/>
      <c r="B120" s="141"/>
      <c r="C120" s="141"/>
      <c r="D120" s="141"/>
      <c r="E120" s="141"/>
      <c r="F120" s="141"/>
      <c r="G120" s="141"/>
      <c r="H120" s="141"/>
      <c r="I120" s="148"/>
      <c r="J120" s="148"/>
      <c r="K120" s="148"/>
      <c r="L120" s="148"/>
      <c r="M120" s="148"/>
      <c r="N120" s="148"/>
      <c r="O120" s="141"/>
      <c r="P120" s="141"/>
      <c r="Q120" s="147"/>
      <c r="R120" s="147"/>
      <c r="S120" s="147"/>
      <c r="T120" s="147"/>
      <c r="U120" s="147"/>
      <c r="V120" s="152"/>
      <c r="W120" s="147"/>
      <c r="X120" s="147"/>
      <c r="Y120" s="141"/>
      <c r="Z120" s="141"/>
      <c r="AA120" s="141"/>
      <c r="AB120" s="141"/>
      <c r="AC120" s="141"/>
      <c r="AD120" s="160"/>
      <c r="AE120" s="153"/>
      <c r="AF120" s="153"/>
      <c r="AG120" s="141"/>
      <c r="AH120" s="141"/>
      <c r="AI120" s="141"/>
      <c r="AJ120" s="141"/>
      <c r="AK120" s="147"/>
      <c r="AL120" s="147"/>
      <c r="AM120" s="141" t="str">
        <f t="shared" ca="1" si="4"/>
        <v>Desactualizado</v>
      </c>
      <c r="AN120" s="190">
        <f t="shared" si="5"/>
        <v>0</v>
      </c>
      <c r="AO120" s="193">
        <f t="shared" ca="1" si="6"/>
        <v>-1505.5666666666666</v>
      </c>
      <c r="AP120" s="195" t="str">
        <f t="shared" ca="1" si="7"/>
        <v>Vencida</v>
      </c>
    </row>
    <row r="121" spans="1:42" s="138" customFormat="1" ht="29.25" customHeight="1" x14ac:dyDescent="0.3">
      <c r="A121" s="147"/>
      <c r="B121" s="141"/>
      <c r="C121" s="141"/>
      <c r="D121" s="141"/>
      <c r="E121" s="141"/>
      <c r="F121" s="141"/>
      <c r="G121" s="141"/>
      <c r="H121" s="141"/>
      <c r="I121" s="148"/>
      <c r="J121" s="148"/>
      <c r="K121" s="148"/>
      <c r="L121" s="148"/>
      <c r="M121" s="148"/>
      <c r="N121" s="148"/>
      <c r="O121" s="141"/>
      <c r="P121" s="141"/>
      <c r="Q121" s="147"/>
      <c r="R121" s="147"/>
      <c r="S121" s="147"/>
      <c r="T121" s="147"/>
      <c r="U121" s="147"/>
      <c r="V121" s="152"/>
      <c r="W121" s="147"/>
      <c r="X121" s="147"/>
      <c r="Y121" s="141"/>
      <c r="Z121" s="141"/>
      <c r="AA121" s="141"/>
      <c r="AB121" s="141"/>
      <c r="AC121" s="141"/>
      <c r="AD121" s="160"/>
      <c r="AE121" s="153"/>
      <c r="AF121" s="153"/>
      <c r="AG121" s="141"/>
      <c r="AH121" s="141"/>
      <c r="AI121" s="141"/>
      <c r="AJ121" s="141"/>
      <c r="AK121" s="147"/>
      <c r="AL121" s="147"/>
      <c r="AM121" s="141" t="str">
        <f t="shared" ca="1" si="4"/>
        <v>Desactualizado</v>
      </c>
      <c r="AN121" s="190">
        <f t="shared" si="5"/>
        <v>0</v>
      </c>
      <c r="AO121" s="193">
        <f t="shared" ca="1" si="6"/>
        <v>-1505.5666666666666</v>
      </c>
      <c r="AP121" s="195" t="str">
        <f t="shared" ca="1" si="7"/>
        <v>Vencida</v>
      </c>
    </row>
    <row r="122" spans="1:42" s="138" customFormat="1" ht="29.25" customHeight="1" x14ac:dyDescent="0.3">
      <c r="A122" s="147"/>
      <c r="B122" s="141"/>
      <c r="C122" s="141"/>
      <c r="D122" s="141"/>
      <c r="E122" s="141"/>
      <c r="F122" s="141"/>
      <c r="G122" s="141"/>
      <c r="H122" s="141"/>
      <c r="I122" s="148"/>
      <c r="J122" s="148"/>
      <c r="K122" s="148"/>
      <c r="L122" s="148"/>
      <c r="M122" s="148"/>
      <c r="N122" s="148"/>
      <c r="O122" s="141"/>
      <c r="P122" s="141"/>
      <c r="Q122" s="147"/>
      <c r="R122" s="147"/>
      <c r="S122" s="147"/>
      <c r="T122" s="147"/>
      <c r="U122" s="147"/>
      <c r="V122" s="152"/>
      <c r="W122" s="147"/>
      <c r="X122" s="147"/>
      <c r="Y122" s="141"/>
      <c r="Z122" s="141"/>
      <c r="AA122" s="141"/>
      <c r="AB122" s="141"/>
      <c r="AC122" s="141"/>
      <c r="AD122" s="160"/>
      <c r="AE122" s="153"/>
      <c r="AF122" s="153"/>
      <c r="AG122" s="141"/>
      <c r="AH122" s="141"/>
      <c r="AI122" s="141"/>
      <c r="AJ122" s="141"/>
      <c r="AK122" s="147"/>
      <c r="AL122" s="147"/>
      <c r="AM122" s="141" t="str">
        <f t="shared" ca="1" si="4"/>
        <v>Desactualizado</v>
      </c>
      <c r="AN122" s="190">
        <f t="shared" si="5"/>
        <v>0</v>
      </c>
      <c r="AO122" s="193">
        <f t="shared" ca="1" si="6"/>
        <v>-1505.5666666666666</v>
      </c>
      <c r="AP122" s="195" t="str">
        <f t="shared" ca="1" si="7"/>
        <v>Vencida</v>
      </c>
    </row>
    <row r="123" spans="1:42" s="138" customFormat="1" ht="29.25" customHeight="1" x14ac:dyDescent="0.3">
      <c r="A123" s="147"/>
      <c r="B123" s="141"/>
      <c r="C123" s="141"/>
      <c r="D123" s="141"/>
      <c r="E123" s="141"/>
      <c r="F123" s="141"/>
      <c r="G123" s="141"/>
      <c r="H123" s="141"/>
      <c r="I123" s="165"/>
      <c r="J123" s="148"/>
      <c r="K123" s="148"/>
      <c r="L123" s="148"/>
      <c r="M123" s="148"/>
      <c r="N123" s="148"/>
      <c r="O123" s="141"/>
      <c r="P123" s="141"/>
      <c r="Q123" s="147"/>
      <c r="R123" s="147"/>
      <c r="S123" s="147"/>
      <c r="T123" s="147"/>
      <c r="U123" s="147"/>
      <c r="V123" s="152"/>
      <c r="W123" s="147"/>
      <c r="X123" s="147"/>
      <c r="Y123" s="141"/>
      <c r="Z123" s="141"/>
      <c r="AA123" s="141"/>
      <c r="AB123" s="141"/>
      <c r="AC123" s="141"/>
      <c r="AD123" s="160"/>
      <c r="AE123" s="153"/>
      <c r="AF123" s="153"/>
      <c r="AG123" s="141"/>
      <c r="AH123" s="141"/>
      <c r="AI123" s="141"/>
      <c r="AJ123" s="141"/>
      <c r="AK123" s="147"/>
      <c r="AL123" s="147"/>
      <c r="AM123" s="141" t="str">
        <f t="shared" ca="1" si="4"/>
        <v>Desactualizado</v>
      </c>
      <c r="AN123" s="190">
        <f t="shared" si="5"/>
        <v>0</v>
      </c>
      <c r="AO123" s="193">
        <f t="shared" ca="1" si="6"/>
        <v>-1505.5666666666666</v>
      </c>
      <c r="AP123" s="195" t="str">
        <f t="shared" ca="1" si="7"/>
        <v>Vencida</v>
      </c>
    </row>
    <row r="124" spans="1:42" s="138" customFormat="1" ht="29.25" customHeight="1" x14ac:dyDescent="0.3">
      <c r="A124" s="147"/>
      <c r="B124" s="148"/>
      <c r="C124" s="148"/>
      <c r="D124" s="148"/>
      <c r="E124" s="141"/>
      <c r="F124" s="141"/>
      <c r="G124" s="141"/>
      <c r="H124" s="141"/>
      <c r="I124" s="148"/>
      <c r="J124" s="148"/>
      <c r="K124" s="148"/>
      <c r="L124" s="148"/>
      <c r="M124" s="148"/>
      <c r="N124" s="148"/>
      <c r="O124" s="141"/>
      <c r="P124" s="141"/>
      <c r="Q124" s="147"/>
      <c r="R124" s="147"/>
      <c r="S124" s="147"/>
      <c r="T124" s="147"/>
      <c r="U124" s="147"/>
      <c r="V124" s="152"/>
      <c r="W124" s="147"/>
      <c r="X124" s="147"/>
      <c r="Y124" s="141"/>
      <c r="Z124" s="141"/>
      <c r="AA124" s="141"/>
      <c r="AB124" s="141"/>
      <c r="AC124" s="141"/>
      <c r="AD124" s="160"/>
      <c r="AE124" s="153"/>
      <c r="AF124" s="153"/>
      <c r="AG124" s="141"/>
      <c r="AH124" s="141"/>
      <c r="AI124" s="141"/>
      <c r="AJ124" s="141"/>
      <c r="AK124" s="147"/>
      <c r="AL124" s="147"/>
      <c r="AM124" s="141" t="str">
        <f t="shared" ca="1" si="4"/>
        <v>Desactualizado</v>
      </c>
      <c r="AN124" s="190">
        <f t="shared" si="5"/>
        <v>0</v>
      </c>
      <c r="AO124" s="193">
        <f t="shared" ca="1" si="6"/>
        <v>-1505.5666666666666</v>
      </c>
      <c r="AP124" s="195" t="str">
        <f t="shared" ca="1" si="7"/>
        <v>Vencida</v>
      </c>
    </row>
    <row r="125" spans="1:42" s="138" customFormat="1" ht="29.25" customHeight="1" x14ac:dyDescent="0.3">
      <c r="A125" s="147"/>
      <c r="B125" s="141"/>
      <c r="C125" s="141"/>
      <c r="D125" s="141"/>
      <c r="E125" s="141"/>
      <c r="F125" s="141"/>
      <c r="G125" s="141"/>
      <c r="H125" s="141"/>
      <c r="I125" s="148"/>
      <c r="J125" s="148"/>
      <c r="K125" s="148"/>
      <c r="L125" s="148"/>
      <c r="M125" s="148"/>
      <c r="N125" s="148"/>
      <c r="O125" s="141"/>
      <c r="P125" s="141"/>
      <c r="Q125" s="147"/>
      <c r="R125" s="147"/>
      <c r="S125" s="147"/>
      <c r="T125" s="147"/>
      <c r="U125" s="147"/>
      <c r="V125" s="152"/>
      <c r="W125" s="147"/>
      <c r="X125" s="147"/>
      <c r="Y125" s="141"/>
      <c r="Z125" s="141"/>
      <c r="AA125" s="141"/>
      <c r="AB125" s="141"/>
      <c r="AC125" s="141"/>
      <c r="AD125" s="160"/>
      <c r="AE125" s="153"/>
      <c r="AF125" s="153"/>
      <c r="AG125" s="141"/>
      <c r="AH125" s="141"/>
      <c r="AI125" s="141"/>
      <c r="AJ125" s="141"/>
      <c r="AK125" s="147"/>
      <c r="AL125" s="175"/>
      <c r="AM125" s="141" t="str">
        <f t="shared" ca="1" si="4"/>
        <v>Desactualizado</v>
      </c>
      <c r="AN125" s="190">
        <f t="shared" si="5"/>
        <v>0</v>
      </c>
      <c r="AO125" s="193">
        <f t="shared" ca="1" si="6"/>
        <v>-1505.5666666666666</v>
      </c>
      <c r="AP125" s="195" t="str">
        <f t="shared" ca="1" si="7"/>
        <v>Vencida</v>
      </c>
    </row>
    <row r="126" spans="1:42" s="138" customFormat="1" ht="29.25" customHeight="1" x14ac:dyDescent="0.3">
      <c r="A126" s="147"/>
      <c r="B126" s="141"/>
      <c r="C126" s="141"/>
      <c r="D126" s="141"/>
      <c r="E126" s="141"/>
      <c r="F126" s="141"/>
      <c r="G126" s="141"/>
      <c r="H126" s="141"/>
      <c r="I126" s="148"/>
      <c r="J126" s="148"/>
      <c r="K126" s="148"/>
      <c r="L126" s="148"/>
      <c r="M126" s="148"/>
      <c r="N126" s="148"/>
      <c r="O126" s="141"/>
      <c r="P126" s="141"/>
      <c r="Q126" s="147"/>
      <c r="R126" s="147"/>
      <c r="S126" s="147"/>
      <c r="T126" s="147"/>
      <c r="U126" s="147"/>
      <c r="V126" s="152"/>
      <c r="W126" s="147"/>
      <c r="X126" s="147"/>
      <c r="Y126" s="141"/>
      <c r="Z126" s="141"/>
      <c r="AA126" s="141"/>
      <c r="AB126" s="141"/>
      <c r="AC126" s="141"/>
      <c r="AD126" s="160"/>
      <c r="AE126" s="153"/>
      <c r="AF126" s="153"/>
      <c r="AG126" s="141"/>
      <c r="AH126" s="141"/>
      <c r="AI126" s="141"/>
      <c r="AJ126" s="141"/>
      <c r="AK126" s="147"/>
      <c r="AL126" s="175"/>
      <c r="AM126" s="141" t="str">
        <f t="shared" ca="1" si="4"/>
        <v>Desactualizado</v>
      </c>
      <c r="AN126" s="190">
        <f t="shared" si="5"/>
        <v>0</v>
      </c>
      <c r="AO126" s="193">
        <f t="shared" ca="1" si="6"/>
        <v>-1505.5666666666666</v>
      </c>
      <c r="AP126" s="195" t="str">
        <f t="shared" ca="1" si="7"/>
        <v>Vencida</v>
      </c>
    </row>
    <row r="127" spans="1:42" s="138" customFormat="1" ht="29.25" customHeight="1" x14ac:dyDescent="0.3">
      <c r="A127" s="147"/>
      <c r="B127" s="141"/>
      <c r="C127" s="141"/>
      <c r="D127" s="141"/>
      <c r="E127" s="141"/>
      <c r="F127" s="141"/>
      <c r="G127" s="141"/>
      <c r="H127" s="141"/>
      <c r="I127" s="148"/>
      <c r="J127" s="148"/>
      <c r="K127" s="148"/>
      <c r="L127" s="148"/>
      <c r="M127" s="148"/>
      <c r="N127" s="148"/>
      <c r="O127" s="141"/>
      <c r="P127" s="141"/>
      <c r="Q127" s="147"/>
      <c r="R127" s="147"/>
      <c r="S127" s="147"/>
      <c r="T127" s="147"/>
      <c r="U127" s="147"/>
      <c r="V127" s="152"/>
      <c r="W127" s="147"/>
      <c r="X127" s="147"/>
      <c r="Y127" s="141"/>
      <c r="Z127" s="141"/>
      <c r="AA127" s="141"/>
      <c r="AB127" s="141"/>
      <c r="AC127" s="141"/>
      <c r="AD127" s="160"/>
      <c r="AE127" s="153"/>
      <c r="AF127" s="153"/>
      <c r="AG127" s="141"/>
      <c r="AH127" s="141"/>
      <c r="AI127" s="141"/>
      <c r="AJ127" s="141"/>
      <c r="AK127" s="147"/>
      <c r="AL127" s="175"/>
      <c r="AM127" s="141" t="str">
        <f t="shared" ca="1" si="4"/>
        <v>Desactualizado</v>
      </c>
      <c r="AN127" s="190">
        <f t="shared" si="5"/>
        <v>0</v>
      </c>
      <c r="AO127" s="193">
        <f t="shared" ca="1" si="6"/>
        <v>-1505.5666666666666</v>
      </c>
      <c r="AP127" s="195" t="str">
        <f t="shared" ca="1" si="7"/>
        <v>Vencida</v>
      </c>
    </row>
    <row r="128" spans="1:42" s="138" customFormat="1" ht="29.25" customHeight="1" x14ac:dyDescent="0.3">
      <c r="A128" s="147"/>
      <c r="B128" s="141"/>
      <c r="C128" s="141"/>
      <c r="D128" s="141"/>
      <c r="E128" s="141"/>
      <c r="F128" s="141"/>
      <c r="G128" s="141"/>
      <c r="H128" s="141"/>
      <c r="I128" s="148"/>
      <c r="J128" s="148"/>
      <c r="K128" s="148"/>
      <c r="L128" s="148"/>
      <c r="M128" s="148"/>
      <c r="N128" s="148"/>
      <c r="O128" s="141"/>
      <c r="P128" s="141"/>
      <c r="Q128" s="147"/>
      <c r="R128" s="147"/>
      <c r="S128" s="147"/>
      <c r="T128" s="147"/>
      <c r="U128" s="147"/>
      <c r="V128" s="152"/>
      <c r="W128" s="147"/>
      <c r="X128" s="147"/>
      <c r="Y128" s="141"/>
      <c r="Z128" s="141"/>
      <c r="AA128" s="141"/>
      <c r="AB128" s="141"/>
      <c r="AC128" s="141"/>
      <c r="AD128" s="160"/>
      <c r="AE128" s="153"/>
      <c r="AF128" s="153"/>
      <c r="AG128" s="141"/>
      <c r="AH128" s="141"/>
      <c r="AI128" s="141"/>
      <c r="AJ128" s="141"/>
      <c r="AK128" s="147"/>
      <c r="AL128" s="175"/>
      <c r="AM128" s="141" t="str">
        <f t="shared" ca="1" si="4"/>
        <v>Desactualizado</v>
      </c>
      <c r="AN128" s="190">
        <f t="shared" si="5"/>
        <v>0</v>
      </c>
      <c r="AO128" s="193">
        <f t="shared" ca="1" si="6"/>
        <v>-1505.5666666666666</v>
      </c>
      <c r="AP128" s="195" t="str">
        <f t="shared" ca="1" si="7"/>
        <v>Vencida</v>
      </c>
    </row>
    <row r="129" spans="1:42" s="138" customFormat="1" ht="29.25" customHeight="1" x14ac:dyDescent="0.3">
      <c r="A129" s="147"/>
      <c r="B129" s="141"/>
      <c r="C129" s="141"/>
      <c r="D129" s="141"/>
      <c r="E129" s="141"/>
      <c r="F129" s="141"/>
      <c r="G129" s="141"/>
      <c r="H129" s="141"/>
      <c r="I129" s="162"/>
      <c r="J129" s="162"/>
      <c r="K129" s="148"/>
      <c r="L129" s="162"/>
      <c r="M129" s="162"/>
      <c r="N129" s="162"/>
      <c r="O129" s="141"/>
      <c r="P129" s="141"/>
      <c r="Q129" s="147"/>
      <c r="R129" s="147"/>
      <c r="S129" s="147"/>
      <c r="T129" s="147"/>
      <c r="U129" s="147"/>
      <c r="V129" s="152"/>
      <c r="W129" s="147"/>
      <c r="X129" s="147"/>
      <c r="Y129" s="141"/>
      <c r="Z129" s="141"/>
      <c r="AA129" s="141"/>
      <c r="AB129" s="141"/>
      <c r="AC129" s="141"/>
      <c r="AD129" s="160"/>
      <c r="AE129" s="153"/>
      <c r="AF129" s="153"/>
      <c r="AG129" s="141"/>
      <c r="AH129" s="141"/>
      <c r="AI129" s="141"/>
      <c r="AJ129" s="141"/>
      <c r="AK129" s="147"/>
      <c r="AL129" s="147"/>
      <c r="AM129" s="141" t="str">
        <f t="shared" ca="1" si="4"/>
        <v>Desactualizado</v>
      </c>
      <c r="AN129" s="190">
        <f t="shared" si="5"/>
        <v>0</v>
      </c>
      <c r="AO129" s="193">
        <f t="shared" ca="1" si="6"/>
        <v>-1505.5666666666666</v>
      </c>
      <c r="AP129" s="195" t="str">
        <f t="shared" ca="1" si="7"/>
        <v>Vencida</v>
      </c>
    </row>
    <row r="130" spans="1:42" s="138" customFormat="1" ht="20.25" x14ac:dyDescent="0.3">
      <c r="A130" s="147"/>
      <c r="B130" s="148"/>
      <c r="C130" s="148"/>
      <c r="D130" s="148"/>
      <c r="E130" s="141"/>
      <c r="F130" s="141"/>
      <c r="G130" s="141"/>
      <c r="H130" s="141"/>
      <c r="I130" s="148"/>
      <c r="J130" s="148"/>
      <c r="K130" s="148"/>
      <c r="L130" s="148"/>
      <c r="M130" s="148"/>
      <c r="N130" s="148"/>
      <c r="O130" s="141"/>
      <c r="P130" s="141"/>
      <c r="Q130" s="147"/>
      <c r="R130" s="147"/>
      <c r="S130" s="147"/>
      <c r="T130" s="147"/>
      <c r="U130" s="147"/>
      <c r="V130" s="152"/>
      <c r="W130" s="147"/>
      <c r="X130" s="147"/>
      <c r="Y130" s="141"/>
      <c r="Z130" s="141"/>
      <c r="AA130" s="141"/>
      <c r="AB130" s="141"/>
      <c r="AC130" s="141"/>
      <c r="AD130" s="160"/>
      <c r="AE130" s="153"/>
      <c r="AF130" s="153"/>
      <c r="AG130" s="141"/>
      <c r="AH130" s="141"/>
      <c r="AI130" s="141"/>
      <c r="AJ130" s="141"/>
      <c r="AK130" s="147"/>
      <c r="AL130" s="175"/>
      <c r="AM130" s="141" t="str">
        <f t="shared" ca="1" si="4"/>
        <v>Desactualizado</v>
      </c>
      <c r="AN130" s="190">
        <f t="shared" si="5"/>
        <v>0</v>
      </c>
      <c r="AO130" s="193">
        <f t="shared" ca="1" si="6"/>
        <v>-1505.5666666666666</v>
      </c>
      <c r="AP130" s="195" t="str">
        <f t="shared" ca="1" si="7"/>
        <v>Vencida</v>
      </c>
    </row>
    <row r="131" spans="1:42" s="138" customFormat="1" ht="20.25" x14ac:dyDescent="0.3">
      <c r="A131" s="147"/>
      <c r="B131" s="148"/>
      <c r="C131" s="148"/>
      <c r="D131" s="148"/>
      <c r="E131" s="141"/>
      <c r="F131" s="141"/>
      <c r="G131" s="141"/>
      <c r="H131" s="141"/>
      <c r="I131" s="148"/>
      <c r="J131" s="148"/>
      <c r="K131" s="148"/>
      <c r="L131" s="148"/>
      <c r="M131" s="148"/>
      <c r="N131" s="148"/>
      <c r="O131" s="141"/>
      <c r="P131" s="141"/>
      <c r="Q131" s="147"/>
      <c r="R131" s="147"/>
      <c r="S131" s="147"/>
      <c r="T131" s="147"/>
      <c r="U131" s="147"/>
      <c r="V131" s="152"/>
      <c r="W131" s="147"/>
      <c r="X131" s="147"/>
      <c r="Y131" s="141"/>
      <c r="Z131" s="141"/>
      <c r="AA131" s="141"/>
      <c r="AB131" s="141"/>
      <c r="AC131" s="141"/>
      <c r="AD131" s="160"/>
      <c r="AE131" s="153"/>
      <c r="AF131" s="153"/>
      <c r="AG131" s="141"/>
      <c r="AH131" s="141"/>
      <c r="AI131" s="141"/>
      <c r="AJ131" s="141"/>
      <c r="AK131" s="147"/>
      <c r="AL131" s="175"/>
      <c r="AM131" s="141" t="str">
        <f t="shared" ca="1" si="4"/>
        <v>Desactualizado</v>
      </c>
      <c r="AN131" s="190">
        <f t="shared" si="5"/>
        <v>0</v>
      </c>
      <c r="AO131" s="193">
        <f t="shared" ca="1" si="6"/>
        <v>-1505.5666666666666</v>
      </c>
      <c r="AP131" s="195" t="str">
        <f t="shared" ca="1" si="7"/>
        <v>Vencida</v>
      </c>
    </row>
    <row r="132" spans="1:42" s="138" customFormat="1" ht="20.25" x14ac:dyDescent="0.3">
      <c r="A132" s="147"/>
      <c r="B132" s="148"/>
      <c r="C132" s="148"/>
      <c r="D132" s="148"/>
      <c r="E132" s="141"/>
      <c r="F132" s="141"/>
      <c r="G132" s="141"/>
      <c r="H132" s="141"/>
      <c r="I132" s="148"/>
      <c r="J132" s="148"/>
      <c r="K132" s="148"/>
      <c r="L132" s="148"/>
      <c r="M132" s="148"/>
      <c r="N132" s="148"/>
      <c r="O132" s="141"/>
      <c r="P132" s="141"/>
      <c r="Q132" s="147"/>
      <c r="R132" s="147"/>
      <c r="S132" s="147"/>
      <c r="T132" s="147"/>
      <c r="U132" s="147"/>
      <c r="V132" s="152"/>
      <c r="W132" s="147"/>
      <c r="X132" s="147"/>
      <c r="Y132" s="141"/>
      <c r="Z132" s="141"/>
      <c r="AA132" s="141"/>
      <c r="AB132" s="141"/>
      <c r="AC132" s="141"/>
      <c r="AD132" s="160"/>
      <c r="AE132" s="153"/>
      <c r="AF132" s="153"/>
      <c r="AG132" s="141"/>
      <c r="AH132" s="141"/>
      <c r="AI132" s="141"/>
      <c r="AJ132" s="141"/>
      <c r="AK132" s="147"/>
      <c r="AL132" s="175"/>
      <c r="AM132" s="141" t="str">
        <f t="shared" ca="1" si="4"/>
        <v>Desactualizado</v>
      </c>
      <c r="AN132" s="190">
        <f t="shared" si="5"/>
        <v>0</v>
      </c>
      <c r="AO132" s="193">
        <f t="shared" ca="1" si="6"/>
        <v>-1505.5666666666666</v>
      </c>
      <c r="AP132" s="195" t="str">
        <f t="shared" ca="1" si="7"/>
        <v>Vencida</v>
      </c>
    </row>
    <row r="133" spans="1:42" s="138" customFormat="1" ht="20.25" x14ac:dyDescent="0.3">
      <c r="A133" s="147"/>
      <c r="B133" s="148"/>
      <c r="C133" s="148"/>
      <c r="D133" s="148"/>
      <c r="E133" s="141"/>
      <c r="F133" s="141"/>
      <c r="G133" s="141"/>
      <c r="H133" s="141"/>
      <c r="I133" s="148"/>
      <c r="J133" s="148"/>
      <c r="K133" s="148"/>
      <c r="L133" s="148"/>
      <c r="M133" s="148"/>
      <c r="N133" s="148"/>
      <c r="O133" s="141"/>
      <c r="P133" s="141"/>
      <c r="Q133" s="147"/>
      <c r="R133" s="147"/>
      <c r="S133" s="147"/>
      <c r="T133" s="147"/>
      <c r="U133" s="147"/>
      <c r="V133" s="152"/>
      <c r="W133" s="147"/>
      <c r="X133" s="147"/>
      <c r="Y133" s="141"/>
      <c r="Z133" s="141"/>
      <c r="AA133" s="141"/>
      <c r="AB133" s="141"/>
      <c r="AC133" s="141"/>
      <c r="AD133" s="160"/>
      <c r="AE133" s="153"/>
      <c r="AF133" s="153"/>
      <c r="AG133" s="141"/>
      <c r="AH133" s="141"/>
      <c r="AI133" s="141"/>
      <c r="AJ133" s="141"/>
      <c r="AK133" s="147"/>
      <c r="AL133" s="147"/>
      <c r="AM133" s="141" t="str">
        <f t="shared" ca="1" si="4"/>
        <v>Desactualizado</v>
      </c>
      <c r="AN133" s="190">
        <f t="shared" si="5"/>
        <v>0</v>
      </c>
      <c r="AO133" s="193">
        <f t="shared" ca="1" si="6"/>
        <v>-1505.5666666666666</v>
      </c>
      <c r="AP133" s="195" t="str">
        <f t="shared" ca="1" si="7"/>
        <v>Vencida</v>
      </c>
    </row>
    <row r="134" spans="1:42" s="138" customFormat="1" ht="20.25" x14ac:dyDescent="0.3">
      <c r="A134" s="147"/>
      <c r="B134" s="148"/>
      <c r="C134" s="148"/>
      <c r="D134" s="148"/>
      <c r="E134" s="141"/>
      <c r="F134" s="141"/>
      <c r="G134" s="141"/>
      <c r="H134" s="141"/>
      <c r="I134" s="148"/>
      <c r="J134" s="148"/>
      <c r="K134" s="148"/>
      <c r="L134" s="148"/>
      <c r="M134" s="148"/>
      <c r="N134" s="148"/>
      <c r="O134" s="141"/>
      <c r="P134" s="141"/>
      <c r="Q134" s="147"/>
      <c r="R134" s="147"/>
      <c r="S134" s="147"/>
      <c r="T134" s="147"/>
      <c r="U134" s="147"/>
      <c r="V134" s="152"/>
      <c r="W134" s="147"/>
      <c r="X134" s="147"/>
      <c r="Y134" s="141"/>
      <c r="Z134" s="141"/>
      <c r="AA134" s="141"/>
      <c r="AB134" s="141"/>
      <c r="AC134" s="141"/>
      <c r="AD134" s="160"/>
      <c r="AE134" s="153"/>
      <c r="AF134" s="153"/>
      <c r="AG134" s="141"/>
      <c r="AH134" s="141"/>
      <c r="AI134" s="141"/>
      <c r="AJ134" s="141"/>
      <c r="AK134" s="147"/>
      <c r="AL134" s="175"/>
      <c r="AM134" s="141" t="str">
        <f t="shared" ca="1" si="4"/>
        <v>Desactualizado</v>
      </c>
      <c r="AN134" s="190">
        <f t="shared" si="5"/>
        <v>0</v>
      </c>
      <c r="AO134" s="193">
        <f t="shared" ca="1" si="6"/>
        <v>-1505.5666666666666</v>
      </c>
      <c r="AP134" s="195" t="str">
        <f t="shared" ca="1" si="7"/>
        <v>Vencida</v>
      </c>
    </row>
    <row r="135" spans="1:42" s="138" customFormat="1" ht="69.75" customHeight="1" x14ac:dyDescent="0.3">
      <c r="A135" s="147"/>
      <c r="B135" s="148"/>
      <c r="C135" s="148"/>
      <c r="D135" s="148"/>
      <c r="E135" s="141"/>
      <c r="F135" s="141"/>
      <c r="G135" s="141"/>
      <c r="H135" s="141"/>
      <c r="I135" s="148"/>
      <c r="J135" s="148"/>
      <c r="K135" s="148"/>
      <c r="L135" s="148"/>
      <c r="M135" s="148"/>
      <c r="N135" s="148"/>
      <c r="O135" s="141"/>
      <c r="P135" s="141"/>
      <c r="Q135" s="147"/>
      <c r="R135" s="147"/>
      <c r="S135" s="147"/>
      <c r="T135" s="147"/>
      <c r="U135" s="147"/>
      <c r="V135" s="152"/>
      <c r="W135" s="147"/>
      <c r="X135" s="147"/>
      <c r="Y135" s="141"/>
      <c r="Z135" s="141"/>
      <c r="AA135" s="141"/>
      <c r="AB135" s="141"/>
      <c r="AC135" s="141"/>
      <c r="AD135" s="160"/>
      <c r="AE135" s="153"/>
      <c r="AF135" s="153"/>
      <c r="AG135" s="141"/>
      <c r="AH135" s="141"/>
      <c r="AI135" s="141"/>
      <c r="AJ135" s="141"/>
      <c r="AK135" s="147"/>
      <c r="AL135" s="175"/>
      <c r="AM135" s="141" t="str">
        <f t="shared" ca="1" si="4"/>
        <v>Desactualizado</v>
      </c>
      <c r="AN135" s="190">
        <f t="shared" si="5"/>
        <v>0</v>
      </c>
      <c r="AO135" s="193">
        <f t="shared" ca="1" si="6"/>
        <v>-1505.5666666666666</v>
      </c>
      <c r="AP135" s="195" t="str">
        <f t="shared" ca="1" si="7"/>
        <v>Vencida</v>
      </c>
    </row>
    <row r="136" spans="1:42" s="138" customFormat="1" ht="20.25" x14ac:dyDescent="0.3">
      <c r="A136" s="147"/>
      <c r="B136" s="148"/>
      <c r="C136" s="148"/>
      <c r="D136" s="148"/>
      <c r="E136" s="141"/>
      <c r="F136" s="141"/>
      <c r="G136" s="141"/>
      <c r="H136" s="141"/>
      <c r="I136" s="148"/>
      <c r="J136" s="148"/>
      <c r="K136" s="148"/>
      <c r="L136" s="148"/>
      <c r="M136" s="148"/>
      <c r="N136" s="148"/>
      <c r="O136" s="141"/>
      <c r="P136" s="141"/>
      <c r="Q136" s="147"/>
      <c r="R136" s="147"/>
      <c r="S136" s="147"/>
      <c r="T136" s="147"/>
      <c r="U136" s="147"/>
      <c r="V136" s="152"/>
      <c r="W136" s="147"/>
      <c r="X136" s="147"/>
      <c r="Y136" s="141"/>
      <c r="Z136" s="141"/>
      <c r="AA136" s="141"/>
      <c r="AB136" s="141"/>
      <c r="AC136" s="141"/>
      <c r="AD136" s="160"/>
      <c r="AE136" s="153"/>
      <c r="AF136" s="153"/>
      <c r="AG136" s="141"/>
      <c r="AH136" s="141"/>
      <c r="AI136" s="141"/>
      <c r="AJ136" s="141"/>
      <c r="AK136" s="147"/>
      <c r="AL136" s="175"/>
      <c r="AM136" s="141" t="str">
        <f t="shared" ref="AM136:AM199" ca="1" si="8">IF(((TODAY()-AL136)/365)&lt;=5,"Actualizado","Desactualizado")</f>
        <v>Desactualizado</v>
      </c>
      <c r="AN136" s="190">
        <f t="shared" si="5"/>
        <v>0</v>
      </c>
      <c r="AO136" s="193">
        <f t="shared" ca="1" si="6"/>
        <v>-1505.5666666666666</v>
      </c>
      <c r="AP136" s="195" t="str">
        <f t="shared" ca="1" si="7"/>
        <v>Vencida</v>
      </c>
    </row>
    <row r="137" spans="1:42" s="138" customFormat="1" ht="20.25" x14ac:dyDescent="0.3">
      <c r="A137" s="147"/>
      <c r="B137" s="148"/>
      <c r="C137" s="148"/>
      <c r="D137" s="148"/>
      <c r="E137" s="141"/>
      <c r="F137" s="141"/>
      <c r="G137" s="141"/>
      <c r="H137" s="141"/>
      <c r="I137" s="148"/>
      <c r="J137" s="148"/>
      <c r="K137" s="148"/>
      <c r="L137" s="148"/>
      <c r="M137" s="148"/>
      <c r="N137" s="148"/>
      <c r="O137" s="141"/>
      <c r="P137" s="141"/>
      <c r="Q137" s="147"/>
      <c r="R137" s="147"/>
      <c r="S137" s="147"/>
      <c r="T137" s="147"/>
      <c r="U137" s="147"/>
      <c r="V137" s="152"/>
      <c r="W137" s="147"/>
      <c r="X137" s="147"/>
      <c r="Y137" s="141"/>
      <c r="Z137" s="141"/>
      <c r="AA137" s="141"/>
      <c r="AB137" s="141"/>
      <c r="AC137" s="141"/>
      <c r="AD137" s="160"/>
      <c r="AE137" s="153"/>
      <c r="AF137" s="153"/>
      <c r="AG137" s="141"/>
      <c r="AH137" s="141"/>
      <c r="AI137" s="141"/>
      <c r="AJ137" s="141"/>
      <c r="AK137" s="147"/>
      <c r="AL137" s="147"/>
      <c r="AM137" s="141" t="str">
        <f t="shared" ca="1" si="8"/>
        <v>Desactualizado</v>
      </c>
      <c r="AN137" s="190">
        <f t="shared" ref="AN137:AN200" si="9">+M137</f>
        <v>0</v>
      </c>
      <c r="AO137" s="193">
        <f t="shared" ref="AO137:AO200" ca="1" si="10">(AN137-TODAY())/30</f>
        <v>-1505.5666666666666</v>
      </c>
      <c r="AP137" s="195" t="str">
        <f t="shared" ca="1" si="7"/>
        <v>Vencida</v>
      </c>
    </row>
    <row r="138" spans="1:42" s="138" customFormat="1" ht="20.25" x14ac:dyDescent="0.3">
      <c r="A138" s="147"/>
      <c r="B138" s="148"/>
      <c r="C138" s="148"/>
      <c r="D138" s="148"/>
      <c r="E138" s="141"/>
      <c r="F138" s="141"/>
      <c r="G138" s="141"/>
      <c r="H138" s="141"/>
      <c r="I138" s="148"/>
      <c r="J138" s="148"/>
      <c r="K138" s="148"/>
      <c r="L138" s="148"/>
      <c r="M138" s="148"/>
      <c r="N138" s="148"/>
      <c r="O138" s="141"/>
      <c r="P138" s="141"/>
      <c r="Q138" s="147"/>
      <c r="R138" s="147"/>
      <c r="S138" s="147"/>
      <c r="T138" s="147"/>
      <c r="U138" s="147"/>
      <c r="V138" s="152"/>
      <c r="W138" s="147"/>
      <c r="X138" s="147"/>
      <c r="Y138" s="141"/>
      <c r="Z138" s="141"/>
      <c r="AA138" s="141"/>
      <c r="AB138" s="141"/>
      <c r="AC138" s="141"/>
      <c r="AD138" s="160"/>
      <c r="AE138" s="153"/>
      <c r="AF138" s="153"/>
      <c r="AG138" s="141"/>
      <c r="AH138" s="141"/>
      <c r="AI138" s="141"/>
      <c r="AJ138" s="141"/>
      <c r="AK138" s="147"/>
      <c r="AL138" s="175"/>
      <c r="AM138" s="141" t="str">
        <f t="shared" ca="1" si="8"/>
        <v>Desactualizado</v>
      </c>
      <c r="AN138" s="190">
        <f t="shared" si="9"/>
        <v>0</v>
      </c>
      <c r="AO138" s="193">
        <f t="shared" ca="1" si="10"/>
        <v>-1505.5666666666666</v>
      </c>
      <c r="AP138" s="195" t="str">
        <f t="shared" ref="AP138:AP201" ca="1" si="11">IF(AO138&gt;6,"Vigente",IF(AND(AO138&gt;=3,AO138&lt;=6),"Pendiente por vencer",IF(AND(AO138&gt;=1,AO138&lt;=3),"Proxima a vencer","Vencida")))</f>
        <v>Vencida</v>
      </c>
    </row>
    <row r="139" spans="1:42" s="138" customFormat="1" ht="20.25" x14ac:dyDescent="0.3">
      <c r="A139" s="147"/>
      <c r="B139" s="148"/>
      <c r="C139" s="148"/>
      <c r="D139" s="148"/>
      <c r="E139" s="141"/>
      <c r="F139" s="141"/>
      <c r="G139" s="141"/>
      <c r="H139" s="141"/>
      <c r="I139" s="148"/>
      <c r="J139" s="148"/>
      <c r="K139" s="148"/>
      <c r="L139" s="148"/>
      <c r="M139" s="148"/>
      <c r="N139" s="148"/>
      <c r="O139" s="141"/>
      <c r="P139" s="141"/>
      <c r="Q139" s="147"/>
      <c r="R139" s="147"/>
      <c r="S139" s="147"/>
      <c r="T139" s="147"/>
      <c r="U139" s="147"/>
      <c r="V139" s="152"/>
      <c r="W139" s="147"/>
      <c r="X139" s="147"/>
      <c r="Y139" s="141"/>
      <c r="Z139" s="141"/>
      <c r="AA139" s="141"/>
      <c r="AB139" s="141"/>
      <c r="AC139" s="141"/>
      <c r="AD139" s="160"/>
      <c r="AE139" s="153"/>
      <c r="AF139" s="153"/>
      <c r="AG139" s="141"/>
      <c r="AH139" s="141"/>
      <c r="AI139" s="141"/>
      <c r="AJ139" s="141"/>
      <c r="AK139" s="147"/>
      <c r="AL139" s="147"/>
      <c r="AM139" s="141" t="str">
        <f t="shared" ca="1" si="8"/>
        <v>Desactualizado</v>
      </c>
      <c r="AN139" s="190">
        <f t="shared" si="9"/>
        <v>0</v>
      </c>
      <c r="AO139" s="193">
        <f t="shared" ca="1" si="10"/>
        <v>-1505.5666666666666</v>
      </c>
      <c r="AP139" s="195" t="str">
        <f t="shared" ca="1" si="11"/>
        <v>Vencida</v>
      </c>
    </row>
    <row r="140" spans="1:42" s="138" customFormat="1" ht="20.25" x14ac:dyDescent="0.3">
      <c r="A140" s="147"/>
      <c r="B140" s="148"/>
      <c r="C140" s="148"/>
      <c r="D140" s="148"/>
      <c r="E140" s="141"/>
      <c r="F140" s="141"/>
      <c r="G140" s="141"/>
      <c r="H140" s="141"/>
      <c r="I140" s="148"/>
      <c r="J140" s="148"/>
      <c r="K140" s="148"/>
      <c r="L140" s="148"/>
      <c r="M140" s="148"/>
      <c r="N140" s="148"/>
      <c r="O140" s="141"/>
      <c r="P140" s="141"/>
      <c r="Q140" s="147"/>
      <c r="R140" s="147"/>
      <c r="S140" s="147"/>
      <c r="T140" s="147"/>
      <c r="U140" s="147"/>
      <c r="V140" s="152"/>
      <c r="W140" s="147"/>
      <c r="X140" s="147"/>
      <c r="Y140" s="141"/>
      <c r="Z140" s="141"/>
      <c r="AA140" s="141"/>
      <c r="AB140" s="141"/>
      <c r="AC140" s="141"/>
      <c r="AD140" s="160"/>
      <c r="AE140" s="153"/>
      <c r="AF140" s="153"/>
      <c r="AG140" s="141"/>
      <c r="AH140" s="141"/>
      <c r="AI140" s="141"/>
      <c r="AJ140" s="141"/>
      <c r="AK140" s="147"/>
      <c r="AL140" s="175"/>
      <c r="AM140" s="141" t="str">
        <f t="shared" ca="1" si="8"/>
        <v>Desactualizado</v>
      </c>
      <c r="AN140" s="190">
        <f t="shared" si="9"/>
        <v>0</v>
      </c>
      <c r="AO140" s="193">
        <f t="shared" ca="1" si="10"/>
        <v>-1505.5666666666666</v>
      </c>
      <c r="AP140" s="195" t="str">
        <f t="shared" ca="1" si="11"/>
        <v>Vencida</v>
      </c>
    </row>
    <row r="141" spans="1:42" s="138" customFormat="1" ht="20.25" x14ac:dyDescent="0.3">
      <c r="A141" s="147"/>
      <c r="B141" s="148"/>
      <c r="C141" s="148"/>
      <c r="D141" s="148"/>
      <c r="E141" s="141"/>
      <c r="F141" s="141"/>
      <c r="G141" s="141"/>
      <c r="H141" s="141"/>
      <c r="I141" s="148"/>
      <c r="J141" s="148"/>
      <c r="K141" s="148"/>
      <c r="L141" s="148"/>
      <c r="M141" s="148"/>
      <c r="N141" s="148"/>
      <c r="O141" s="141"/>
      <c r="P141" s="141"/>
      <c r="Q141" s="147"/>
      <c r="R141" s="147"/>
      <c r="S141" s="147"/>
      <c r="T141" s="147"/>
      <c r="U141" s="147"/>
      <c r="V141" s="152"/>
      <c r="W141" s="147"/>
      <c r="X141" s="147"/>
      <c r="Y141" s="141"/>
      <c r="Z141" s="141"/>
      <c r="AA141" s="141"/>
      <c r="AB141" s="141"/>
      <c r="AC141" s="141"/>
      <c r="AD141" s="160"/>
      <c r="AE141" s="153"/>
      <c r="AF141" s="153"/>
      <c r="AG141" s="141"/>
      <c r="AH141" s="141"/>
      <c r="AI141" s="141"/>
      <c r="AJ141" s="141"/>
      <c r="AK141" s="147"/>
      <c r="AL141" s="175"/>
      <c r="AM141" s="141" t="str">
        <f t="shared" ca="1" si="8"/>
        <v>Desactualizado</v>
      </c>
      <c r="AN141" s="190">
        <f t="shared" si="9"/>
        <v>0</v>
      </c>
      <c r="AO141" s="193">
        <f t="shared" ca="1" si="10"/>
        <v>-1505.5666666666666</v>
      </c>
      <c r="AP141" s="195" t="str">
        <f t="shared" ca="1" si="11"/>
        <v>Vencida</v>
      </c>
    </row>
    <row r="142" spans="1:42" s="138" customFormat="1" ht="66.75" customHeight="1" x14ac:dyDescent="0.3">
      <c r="A142" s="147"/>
      <c r="B142" s="141"/>
      <c r="C142" s="141"/>
      <c r="D142" s="141"/>
      <c r="E142" s="141"/>
      <c r="F142" s="141"/>
      <c r="G142" s="141"/>
      <c r="H142" s="141"/>
      <c r="I142" s="148"/>
      <c r="J142" s="148"/>
      <c r="K142" s="148"/>
      <c r="L142" s="148"/>
      <c r="M142" s="148"/>
      <c r="N142" s="148"/>
      <c r="O142" s="141"/>
      <c r="P142" s="141"/>
      <c r="Q142" s="147"/>
      <c r="R142" s="147"/>
      <c r="S142" s="147"/>
      <c r="T142" s="147"/>
      <c r="U142" s="147"/>
      <c r="V142" s="152"/>
      <c r="W142" s="147"/>
      <c r="X142" s="147"/>
      <c r="Y142" s="141"/>
      <c r="Z142" s="141"/>
      <c r="AA142" s="141"/>
      <c r="AB142" s="141"/>
      <c r="AC142" s="141"/>
      <c r="AD142" s="160"/>
      <c r="AE142" s="153"/>
      <c r="AF142" s="153"/>
      <c r="AG142" s="141"/>
      <c r="AH142" s="141"/>
      <c r="AI142" s="141"/>
      <c r="AJ142" s="141"/>
      <c r="AK142" s="147"/>
      <c r="AL142" s="147"/>
      <c r="AM142" s="141" t="str">
        <f t="shared" ca="1" si="8"/>
        <v>Desactualizado</v>
      </c>
      <c r="AN142" s="190">
        <f t="shared" si="9"/>
        <v>0</v>
      </c>
      <c r="AO142" s="193">
        <f t="shared" ca="1" si="10"/>
        <v>-1505.5666666666666</v>
      </c>
      <c r="AP142" s="195" t="str">
        <f t="shared" ca="1" si="11"/>
        <v>Vencida</v>
      </c>
    </row>
    <row r="143" spans="1:42" s="138" customFormat="1" ht="20.25" x14ac:dyDescent="0.3">
      <c r="A143" s="147"/>
      <c r="B143" s="141"/>
      <c r="C143" s="141"/>
      <c r="D143" s="141"/>
      <c r="E143" s="141"/>
      <c r="F143" s="141"/>
      <c r="G143" s="141"/>
      <c r="H143" s="141"/>
      <c r="I143" s="148"/>
      <c r="J143" s="148"/>
      <c r="K143" s="148"/>
      <c r="L143" s="148"/>
      <c r="M143" s="148"/>
      <c r="N143" s="148"/>
      <c r="O143" s="141"/>
      <c r="P143" s="141"/>
      <c r="Q143" s="147"/>
      <c r="R143" s="147"/>
      <c r="S143" s="147"/>
      <c r="T143" s="147"/>
      <c r="U143" s="147"/>
      <c r="V143" s="152"/>
      <c r="W143" s="147"/>
      <c r="X143" s="147"/>
      <c r="Y143" s="141"/>
      <c r="Z143" s="141"/>
      <c r="AA143" s="141"/>
      <c r="AB143" s="141"/>
      <c r="AC143" s="141"/>
      <c r="AD143" s="160"/>
      <c r="AE143" s="153"/>
      <c r="AF143" s="153"/>
      <c r="AG143" s="141"/>
      <c r="AH143" s="141"/>
      <c r="AI143" s="141"/>
      <c r="AJ143" s="141"/>
      <c r="AK143" s="147"/>
      <c r="AL143" s="175"/>
      <c r="AM143" s="141" t="str">
        <f t="shared" ca="1" si="8"/>
        <v>Desactualizado</v>
      </c>
      <c r="AN143" s="190">
        <f t="shared" si="9"/>
        <v>0</v>
      </c>
      <c r="AO143" s="193">
        <f t="shared" ca="1" si="10"/>
        <v>-1505.5666666666666</v>
      </c>
      <c r="AP143" s="195" t="str">
        <f t="shared" ca="1" si="11"/>
        <v>Vencida</v>
      </c>
    </row>
    <row r="144" spans="1:42" s="138" customFormat="1" ht="29.25" customHeight="1" x14ac:dyDescent="0.3">
      <c r="A144" s="147"/>
      <c r="B144" s="141"/>
      <c r="C144" s="141"/>
      <c r="D144" s="141"/>
      <c r="E144" s="141"/>
      <c r="F144" s="141"/>
      <c r="G144" s="141"/>
      <c r="H144" s="141"/>
      <c r="I144" s="148"/>
      <c r="J144" s="148"/>
      <c r="K144" s="148"/>
      <c r="L144" s="148"/>
      <c r="M144" s="148"/>
      <c r="N144" s="148"/>
      <c r="O144" s="141"/>
      <c r="P144" s="141"/>
      <c r="Q144" s="147"/>
      <c r="R144" s="147"/>
      <c r="S144" s="147"/>
      <c r="T144" s="147"/>
      <c r="U144" s="147"/>
      <c r="V144" s="152"/>
      <c r="W144" s="147"/>
      <c r="X144" s="147"/>
      <c r="Y144" s="141"/>
      <c r="Z144" s="141"/>
      <c r="AA144" s="141"/>
      <c r="AB144" s="141"/>
      <c r="AC144" s="141"/>
      <c r="AD144" s="160"/>
      <c r="AE144" s="153"/>
      <c r="AF144" s="153"/>
      <c r="AG144" s="141"/>
      <c r="AH144" s="141"/>
      <c r="AI144" s="141"/>
      <c r="AJ144" s="141"/>
      <c r="AK144" s="147"/>
      <c r="AL144" s="147"/>
      <c r="AM144" s="141" t="str">
        <f t="shared" ca="1" si="8"/>
        <v>Desactualizado</v>
      </c>
      <c r="AN144" s="190">
        <f t="shared" si="9"/>
        <v>0</v>
      </c>
      <c r="AO144" s="193">
        <f t="shared" ca="1" si="10"/>
        <v>-1505.5666666666666</v>
      </c>
      <c r="AP144" s="195" t="str">
        <f t="shared" ca="1" si="11"/>
        <v>Vencida</v>
      </c>
    </row>
    <row r="145" spans="1:42" s="138" customFormat="1" ht="20.25" x14ac:dyDescent="0.3">
      <c r="A145" s="147"/>
      <c r="B145" s="141"/>
      <c r="C145" s="141"/>
      <c r="D145" s="141"/>
      <c r="E145" s="141"/>
      <c r="F145" s="141"/>
      <c r="G145" s="141"/>
      <c r="H145" s="141"/>
      <c r="I145" s="148"/>
      <c r="J145" s="148"/>
      <c r="K145" s="148"/>
      <c r="L145" s="148"/>
      <c r="M145" s="148"/>
      <c r="N145" s="148"/>
      <c r="O145" s="141"/>
      <c r="P145" s="141"/>
      <c r="Q145" s="147"/>
      <c r="R145" s="147"/>
      <c r="S145" s="147"/>
      <c r="T145" s="147"/>
      <c r="U145" s="147"/>
      <c r="V145" s="152"/>
      <c r="W145" s="147"/>
      <c r="X145" s="147"/>
      <c r="Y145" s="141"/>
      <c r="Z145" s="141"/>
      <c r="AA145" s="141"/>
      <c r="AB145" s="141"/>
      <c r="AC145" s="141"/>
      <c r="AD145" s="160"/>
      <c r="AE145" s="153"/>
      <c r="AF145" s="153"/>
      <c r="AG145" s="141"/>
      <c r="AH145" s="141"/>
      <c r="AI145" s="141"/>
      <c r="AJ145" s="141"/>
      <c r="AK145" s="147"/>
      <c r="AL145" s="175"/>
      <c r="AM145" s="141" t="str">
        <f t="shared" ca="1" si="8"/>
        <v>Desactualizado</v>
      </c>
      <c r="AN145" s="190">
        <f t="shared" si="9"/>
        <v>0</v>
      </c>
      <c r="AO145" s="193">
        <f t="shared" ca="1" si="10"/>
        <v>-1505.5666666666666</v>
      </c>
      <c r="AP145" s="195" t="str">
        <f t="shared" ca="1" si="11"/>
        <v>Vencida</v>
      </c>
    </row>
    <row r="146" spans="1:42" s="138" customFormat="1" ht="20.25" x14ac:dyDescent="0.3">
      <c r="A146" s="147"/>
      <c r="B146" s="141"/>
      <c r="C146" s="141"/>
      <c r="D146" s="141"/>
      <c r="E146" s="141"/>
      <c r="F146" s="141"/>
      <c r="G146" s="141"/>
      <c r="H146" s="141"/>
      <c r="I146" s="148"/>
      <c r="J146" s="148"/>
      <c r="K146" s="148"/>
      <c r="L146" s="148"/>
      <c r="M146" s="148"/>
      <c r="N146" s="148"/>
      <c r="O146" s="141"/>
      <c r="P146" s="141"/>
      <c r="Q146" s="147"/>
      <c r="R146" s="147"/>
      <c r="S146" s="147"/>
      <c r="T146" s="147"/>
      <c r="U146" s="147"/>
      <c r="V146" s="152"/>
      <c r="W146" s="147"/>
      <c r="X146" s="147"/>
      <c r="Y146" s="141"/>
      <c r="Z146" s="141"/>
      <c r="AA146" s="141"/>
      <c r="AB146" s="141"/>
      <c r="AC146" s="141"/>
      <c r="AD146" s="160"/>
      <c r="AE146" s="153"/>
      <c r="AF146" s="153"/>
      <c r="AG146" s="141"/>
      <c r="AH146" s="141"/>
      <c r="AI146" s="141"/>
      <c r="AJ146" s="141"/>
      <c r="AK146" s="147"/>
      <c r="AL146" s="175"/>
      <c r="AM146" s="141" t="str">
        <f t="shared" ca="1" si="8"/>
        <v>Desactualizado</v>
      </c>
      <c r="AN146" s="190">
        <f t="shared" si="9"/>
        <v>0</v>
      </c>
      <c r="AO146" s="193">
        <f t="shared" ca="1" si="10"/>
        <v>-1505.5666666666666</v>
      </c>
      <c r="AP146" s="195" t="str">
        <f t="shared" ca="1" si="11"/>
        <v>Vencida</v>
      </c>
    </row>
    <row r="147" spans="1:42" s="138" customFormat="1" ht="29.25" customHeight="1" x14ac:dyDescent="0.3">
      <c r="A147" s="147"/>
      <c r="B147" s="148"/>
      <c r="C147" s="148"/>
      <c r="D147" s="148"/>
      <c r="E147" s="141"/>
      <c r="F147" s="141"/>
      <c r="G147" s="141"/>
      <c r="H147" s="141"/>
      <c r="I147" s="162"/>
      <c r="J147" s="162"/>
      <c r="K147" s="148"/>
      <c r="L147" s="162"/>
      <c r="M147" s="162"/>
      <c r="N147" s="162"/>
      <c r="O147" s="141"/>
      <c r="P147" s="141"/>
      <c r="Q147" s="147"/>
      <c r="R147" s="147"/>
      <c r="S147" s="147"/>
      <c r="T147" s="147"/>
      <c r="U147" s="147"/>
      <c r="V147" s="152"/>
      <c r="W147" s="147"/>
      <c r="X147" s="147"/>
      <c r="Y147" s="141"/>
      <c r="Z147" s="141"/>
      <c r="AA147" s="141"/>
      <c r="AB147" s="141"/>
      <c r="AC147" s="141"/>
      <c r="AD147" s="160"/>
      <c r="AE147" s="153"/>
      <c r="AF147" s="153"/>
      <c r="AG147" s="141"/>
      <c r="AH147" s="141"/>
      <c r="AI147" s="141"/>
      <c r="AJ147" s="141"/>
      <c r="AK147" s="147"/>
      <c r="AL147" s="147"/>
      <c r="AM147" s="141" t="str">
        <f t="shared" ca="1" si="8"/>
        <v>Desactualizado</v>
      </c>
      <c r="AN147" s="190">
        <f t="shared" si="9"/>
        <v>0</v>
      </c>
      <c r="AO147" s="193">
        <f t="shared" ca="1" si="10"/>
        <v>-1505.5666666666666</v>
      </c>
      <c r="AP147" s="195" t="str">
        <f t="shared" ca="1" si="11"/>
        <v>Vencida</v>
      </c>
    </row>
    <row r="148" spans="1:42" s="138" customFormat="1" ht="20.25" x14ac:dyDescent="0.3">
      <c r="A148" s="147"/>
      <c r="B148" s="148"/>
      <c r="C148" s="148"/>
      <c r="D148" s="148"/>
      <c r="E148" s="141"/>
      <c r="F148" s="141"/>
      <c r="G148" s="141"/>
      <c r="H148" s="141"/>
      <c r="I148" s="148"/>
      <c r="J148" s="148"/>
      <c r="K148" s="148"/>
      <c r="L148" s="148"/>
      <c r="M148" s="148"/>
      <c r="N148" s="148"/>
      <c r="O148" s="141"/>
      <c r="P148" s="141"/>
      <c r="Q148" s="147"/>
      <c r="R148" s="147"/>
      <c r="S148" s="147"/>
      <c r="T148" s="147"/>
      <c r="U148" s="147"/>
      <c r="V148" s="152"/>
      <c r="W148" s="147"/>
      <c r="X148" s="147"/>
      <c r="Y148" s="141"/>
      <c r="Z148" s="141"/>
      <c r="AA148" s="141"/>
      <c r="AB148" s="141"/>
      <c r="AC148" s="141"/>
      <c r="AD148" s="160"/>
      <c r="AE148" s="153"/>
      <c r="AF148" s="153"/>
      <c r="AG148" s="141"/>
      <c r="AH148" s="141"/>
      <c r="AI148" s="141"/>
      <c r="AJ148" s="141"/>
      <c r="AK148" s="147"/>
      <c r="AL148" s="175"/>
      <c r="AM148" s="141" t="str">
        <f t="shared" ca="1" si="8"/>
        <v>Desactualizado</v>
      </c>
      <c r="AN148" s="190">
        <f t="shared" si="9"/>
        <v>0</v>
      </c>
      <c r="AO148" s="193">
        <f t="shared" ca="1" si="10"/>
        <v>-1505.5666666666666</v>
      </c>
      <c r="AP148" s="195" t="str">
        <f t="shared" ca="1" si="11"/>
        <v>Vencida</v>
      </c>
    </row>
    <row r="149" spans="1:42" s="138" customFormat="1" ht="29.25" customHeight="1" x14ac:dyDescent="0.3">
      <c r="A149" s="147"/>
      <c r="B149" s="141"/>
      <c r="C149" s="141"/>
      <c r="D149" s="141"/>
      <c r="E149" s="141"/>
      <c r="F149" s="141"/>
      <c r="G149" s="141"/>
      <c r="H149" s="141"/>
      <c r="I149" s="148"/>
      <c r="J149" s="148"/>
      <c r="K149" s="148"/>
      <c r="L149" s="148"/>
      <c r="M149" s="148"/>
      <c r="N149" s="148"/>
      <c r="O149" s="141"/>
      <c r="P149" s="141"/>
      <c r="Q149" s="147"/>
      <c r="R149" s="147"/>
      <c r="S149" s="147"/>
      <c r="T149" s="147"/>
      <c r="U149" s="147"/>
      <c r="V149" s="152"/>
      <c r="W149" s="147"/>
      <c r="X149" s="147"/>
      <c r="Y149" s="141"/>
      <c r="Z149" s="141"/>
      <c r="AA149" s="141"/>
      <c r="AB149" s="141"/>
      <c r="AC149" s="141"/>
      <c r="AD149" s="160"/>
      <c r="AE149" s="153"/>
      <c r="AF149" s="153"/>
      <c r="AG149" s="141"/>
      <c r="AH149" s="141"/>
      <c r="AI149" s="141"/>
      <c r="AJ149" s="141"/>
      <c r="AK149" s="147"/>
      <c r="AL149" s="147"/>
      <c r="AM149" s="141" t="str">
        <f t="shared" ca="1" si="8"/>
        <v>Desactualizado</v>
      </c>
      <c r="AN149" s="190">
        <f t="shared" si="9"/>
        <v>0</v>
      </c>
      <c r="AO149" s="193">
        <f t="shared" ca="1" si="10"/>
        <v>-1505.5666666666666</v>
      </c>
      <c r="AP149" s="195" t="str">
        <f t="shared" ca="1" si="11"/>
        <v>Vencida</v>
      </c>
    </row>
    <row r="150" spans="1:42" s="138" customFormat="1" ht="20.25" x14ac:dyDescent="0.3">
      <c r="A150" s="147"/>
      <c r="B150" s="141"/>
      <c r="C150" s="141"/>
      <c r="D150" s="141"/>
      <c r="E150" s="141"/>
      <c r="F150" s="141"/>
      <c r="G150" s="141"/>
      <c r="H150" s="141"/>
      <c r="I150" s="148"/>
      <c r="J150" s="148"/>
      <c r="K150" s="148"/>
      <c r="L150" s="148"/>
      <c r="M150" s="148"/>
      <c r="N150" s="148"/>
      <c r="O150" s="141"/>
      <c r="P150" s="141"/>
      <c r="Q150" s="147"/>
      <c r="R150" s="147"/>
      <c r="S150" s="147"/>
      <c r="T150" s="147"/>
      <c r="U150" s="147"/>
      <c r="V150" s="152"/>
      <c r="W150" s="147"/>
      <c r="X150" s="147"/>
      <c r="Y150" s="141"/>
      <c r="Z150" s="141"/>
      <c r="AA150" s="141"/>
      <c r="AB150" s="141"/>
      <c r="AC150" s="141"/>
      <c r="AD150" s="160"/>
      <c r="AE150" s="153"/>
      <c r="AF150" s="153"/>
      <c r="AG150" s="141"/>
      <c r="AH150" s="141"/>
      <c r="AI150" s="141"/>
      <c r="AJ150" s="141"/>
      <c r="AK150" s="147"/>
      <c r="AL150" s="175"/>
      <c r="AM150" s="141" t="str">
        <f t="shared" ca="1" si="8"/>
        <v>Desactualizado</v>
      </c>
      <c r="AN150" s="190">
        <f t="shared" si="9"/>
        <v>0</v>
      </c>
      <c r="AO150" s="193">
        <f t="shared" ca="1" si="10"/>
        <v>-1505.5666666666666</v>
      </c>
      <c r="AP150" s="195" t="str">
        <f t="shared" ca="1" si="11"/>
        <v>Vencida</v>
      </c>
    </row>
    <row r="151" spans="1:42" s="138" customFormat="1" ht="20.25" x14ac:dyDescent="0.3">
      <c r="A151" s="147"/>
      <c r="B151" s="148"/>
      <c r="C151" s="148"/>
      <c r="D151" s="148"/>
      <c r="E151" s="141"/>
      <c r="F151" s="141"/>
      <c r="G151" s="141"/>
      <c r="H151" s="141"/>
      <c r="I151" s="162"/>
      <c r="J151" s="162"/>
      <c r="K151" s="148"/>
      <c r="L151" s="162"/>
      <c r="M151" s="162"/>
      <c r="N151" s="162"/>
      <c r="O151" s="141"/>
      <c r="P151" s="141"/>
      <c r="Q151" s="147"/>
      <c r="R151" s="147"/>
      <c r="S151" s="147"/>
      <c r="T151" s="147"/>
      <c r="U151" s="147"/>
      <c r="V151" s="152"/>
      <c r="W151" s="147"/>
      <c r="X151" s="147"/>
      <c r="Y151" s="141"/>
      <c r="Z151" s="141"/>
      <c r="AA151" s="141"/>
      <c r="AB151" s="141"/>
      <c r="AC151" s="141"/>
      <c r="AD151" s="160"/>
      <c r="AE151" s="153"/>
      <c r="AF151" s="153"/>
      <c r="AG151" s="141"/>
      <c r="AH151" s="141"/>
      <c r="AI151" s="141"/>
      <c r="AJ151" s="141"/>
      <c r="AK151" s="147"/>
      <c r="AL151" s="147"/>
      <c r="AM151" s="141" t="str">
        <f t="shared" ca="1" si="8"/>
        <v>Desactualizado</v>
      </c>
      <c r="AN151" s="190">
        <f t="shared" si="9"/>
        <v>0</v>
      </c>
      <c r="AO151" s="193">
        <f t="shared" ca="1" si="10"/>
        <v>-1505.5666666666666</v>
      </c>
      <c r="AP151" s="195" t="str">
        <f t="shared" ca="1" si="11"/>
        <v>Vencida</v>
      </c>
    </row>
    <row r="152" spans="1:42" s="138" customFormat="1" ht="71.25" customHeight="1" x14ac:dyDescent="0.3">
      <c r="A152" s="147"/>
      <c r="B152" s="141"/>
      <c r="C152" s="141"/>
      <c r="D152" s="141"/>
      <c r="E152" s="141"/>
      <c r="F152" s="141"/>
      <c r="G152" s="141"/>
      <c r="H152" s="141"/>
      <c r="I152" s="148"/>
      <c r="J152" s="148"/>
      <c r="K152" s="148"/>
      <c r="L152" s="148"/>
      <c r="M152" s="148"/>
      <c r="N152" s="148"/>
      <c r="O152" s="141"/>
      <c r="P152" s="141"/>
      <c r="Q152" s="147"/>
      <c r="R152" s="147"/>
      <c r="S152" s="147"/>
      <c r="T152" s="147"/>
      <c r="U152" s="147"/>
      <c r="V152" s="152"/>
      <c r="W152" s="147"/>
      <c r="X152" s="147"/>
      <c r="Y152" s="141"/>
      <c r="Z152" s="141"/>
      <c r="AA152" s="141"/>
      <c r="AB152" s="141"/>
      <c r="AC152" s="141"/>
      <c r="AD152" s="160"/>
      <c r="AE152" s="153"/>
      <c r="AF152" s="153"/>
      <c r="AG152" s="141"/>
      <c r="AH152" s="141"/>
      <c r="AI152" s="141"/>
      <c r="AJ152" s="141"/>
      <c r="AK152" s="147"/>
      <c r="AL152" s="147"/>
      <c r="AM152" s="141" t="str">
        <f t="shared" ca="1" si="8"/>
        <v>Desactualizado</v>
      </c>
      <c r="AN152" s="190">
        <f t="shared" si="9"/>
        <v>0</v>
      </c>
      <c r="AO152" s="193">
        <f t="shared" ca="1" si="10"/>
        <v>-1505.5666666666666</v>
      </c>
      <c r="AP152" s="195" t="str">
        <f t="shared" ca="1" si="11"/>
        <v>Vencida</v>
      </c>
    </row>
    <row r="153" spans="1:42" s="138" customFormat="1" ht="98.25" customHeight="1" x14ac:dyDescent="0.3">
      <c r="A153" s="147"/>
      <c r="B153" s="141"/>
      <c r="C153" s="141"/>
      <c r="D153" s="141"/>
      <c r="E153" s="141"/>
      <c r="F153" s="141"/>
      <c r="G153" s="141"/>
      <c r="H153" s="141"/>
      <c r="I153" s="148"/>
      <c r="J153" s="148"/>
      <c r="K153" s="148"/>
      <c r="L153" s="148"/>
      <c r="M153" s="148"/>
      <c r="N153" s="148"/>
      <c r="O153" s="141"/>
      <c r="P153" s="141"/>
      <c r="Q153" s="147"/>
      <c r="R153" s="147"/>
      <c r="S153" s="147"/>
      <c r="T153" s="147"/>
      <c r="U153" s="147"/>
      <c r="V153" s="152"/>
      <c r="W153" s="147"/>
      <c r="X153" s="147"/>
      <c r="Y153" s="141"/>
      <c r="Z153" s="141"/>
      <c r="AA153" s="141"/>
      <c r="AB153" s="141"/>
      <c r="AC153" s="141"/>
      <c r="AD153" s="160"/>
      <c r="AE153" s="153"/>
      <c r="AF153" s="153"/>
      <c r="AG153" s="141"/>
      <c r="AH153" s="141"/>
      <c r="AI153" s="141"/>
      <c r="AJ153" s="141"/>
      <c r="AK153" s="147"/>
      <c r="AL153" s="175"/>
      <c r="AM153" s="141" t="str">
        <f t="shared" ca="1" si="8"/>
        <v>Desactualizado</v>
      </c>
      <c r="AN153" s="190">
        <f t="shared" si="9"/>
        <v>0</v>
      </c>
      <c r="AO153" s="193">
        <f t="shared" ca="1" si="10"/>
        <v>-1505.5666666666666</v>
      </c>
      <c r="AP153" s="195" t="str">
        <f t="shared" ca="1" si="11"/>
        <v>Vencida</v>
      </c>
    </row>
    <row r="154" spans="1:42" s="138" customFormat="1" ht="45.75" customHeight="1" x14ac:dyDescent="0.3">
      <c r="A154" s="147"/>
      <c r="B154" s="148"/>
      <c r="C154" s="148"/>
      <c r="D154" s="148"/>
      <c r="E154" s="141"/>
      <c r="F154" s="141"/>
      <c r="G154" s="141"/>
      <c r="H154" s="141"/>
      <c r="I154" s="148"/>
      <c r="J154" s="148"/>
      <c r="K154" s="148"/>
      <c r="L154" s="148"/>
      <c r="M154" s="148"/>
      <c r="N154" s="148"/>
      <c r="O154" s="141"/>
      <c r="P154" s="141"/>
      <c r="Q154" s="147"/>
      <c r="R154" s="147"/>
      <c r="S154" s="147"/>
      <c r="T154" s="147"/>
      <c r="U154" s="147"/>
      <c r="V154" s="152"/>
      <c r="W154" s="147"/>
      <c r="X154" s="147"/>
      <c r="Y154" s="141"/>
      <c r="Z154" s="141"/>
      <c r="AA154" s="141"/>
      <c r="AB154" s="141"/>
      <c r="AC154" s="141"/>
      <c r="AD154" s="160"/>
      <c r="AE154" s="153"/>
      <c r="AF154" s="153"/>
      <c r="AG154" s="141"/>
      <c r="AH154" s="141"/>
      <c r="AI154" s="141"/>
      <c r="AJ154" s="141"/>
      <c r="AK154" s="147"/>
      <c r="AL154" s="175"/>
      <c r="AM154" s="141" t="str">
        <f t="shared" ca="1" si="8"/>
        <v>Desactualizado</v>
      </c>
      <c r="AN154" s="190">
        <f t="shared" si="9"/>
        <v>0</v>
      </c>
      <c r="AO154" s="193">
        <f t="shared" ca="1" si="10"/>
        <v>-1505.5666666666666</v>
      </c>
      <c r="AP154" s="195" t="str">
        <f t="shared" ca="1" si="11"/>
        <v>Vencida</v>
      </c>
    </row>
    <row r="155" spans="1:42" s="138" customFormat="1" ht="29.25" customHeight="1" x14ac:dyDescent="0.3">
      <c r="A155" s="147"/>
      <c r="B155" s="148"/>
      <c r="C155" s="148"/>
      <c r="D155" s="148"/>
      <c r="E155" s="141"/>
      <c r="F155" s="141"/>
      <c r="G155" s="141"/>
      <c r="H155" s="141"/>
      <c r="I155" s="162"/>
      <c r="J155" s="162"/>
      <c r="K155" s="148"/>
      <c r="L155" s="162"/>
      <c r="M155" s="162"/>
      <c r="N155" s="162"/>
      <c r="O155" s="141"/>
      <c r="P155" s="141"/>
      <c r="Q155" s="147"/>
      <c r="R155" s="147"/>
      <c r="S155" s="147"/>
      <c r="T155" s="147"/>
      <c r="U155" s="147"/>
      <c r="V155" s="152"/>
      <c r="W155" s="147"/>
      <c r="X155" s="147"/>
      <c r="Y155" s="141"/>
      <c r="Z155" s="141"/>
      <c r="AA155" s="141"/>
      <c r="AB155" s="141"/>
      <c r="AC155" s="141"/>
      <c r="AD155" s="160"/>
      <c r="AE155" s="153"/>
      <c r="AF155" s="153"/>
      <c r="AG155" s="141"/>
      <c r="AH155" s="141"/>
      <c r="AI155" s="141"/>
      <c r="AJ155" s="141"/>
      <c r="AK155" s="147"/>
      <c r="AL155" s="147"/>
      <c r="AM155" s="141" t="str">
        <f t="shared" ca="1" si="8"/>
        <v>Desactualizado</v>
      </c>
      <c r="AN155" s="190">
        <f t="shared" si="9"/>
        <v>0</v>
      </c>
      <c r="AO155" s="193">
        <f t="shared" ca="1" si="10"/>
        <v>-1505.5666666666666</v>
      </c>
      <c r="AP155" s="195" t="str">
        <f t="shared" ca="1" si="11"/>
        <v>Vencida</v>
      </c>
    </row>
    <row r="156" spans="1:42" s="138" customFormat="1" ht="29.25" customHeight="1" x14ac:dyDescent="0.3">
      <c r="A156" s="147"/>
      <c r="B156" s="141"/>
      <c r="C156" s="141"/>
      <c r="D156" s="141"/>
      <c r="E156" s="141"/>
      <c r="F156" s="141"/>
      <c r="G156" s="141"/>
      <c r="H156" s="141"/>
      <c r="I156" s="148"/>
      <c r="J156" s="148"/>
      <c r="K156" s="148"/>
      <c r="L156" s="148"/>
      <c r="M156" s="148"/>
      <c r="N156" s="148"/>
      <c r="O156" s="141"/>
      <c r="P156" s="141"/>
      <c r="Q156" s="147"/>
      <c r="R156" s="147"/>
      <c r="S156" s="147"/>
      <c r="T156" s="147"/>
      <c r="U156" s="147"/>
      <c r="V156" s="152"/>
      <c r="W156" s="147"/>
      <c r="X156" s="147"/>
      <c r="Y156" s="141"/>
      <c r="Z156" s="141"/>
      <c r="AA156" s="141"/>
      <c r="AB156" s="141"/>
      <c r="AC156" s="141"/>
      <c r="AD156" s="160"/>
      <c r="AE156" s="153"/>
      <c r="AF156" s="153"/>
      <c r="AG156" s="141"/>
      <c r="AH156" s="141"/>
      <c r="AI156" s="141"/>
      <c r="AJ156" s="141"/>
      <c r="AK156" s="147"/>
      <c r="AL156" s="147"/>
      <c r="AM156" s="141" t="str">
        <f t="shared" ca="1" si="8"/>
        <v>Desactualizado</v>
      </c>
      <c r="AN156" s="190">
        <f t="shared" si="9"/>
        <v>0</v>
      </c>
      <c r="AO156" s="193">
        <f t="shared" ca="1" si="10"/>
        <v>-1505.5666666666666</v>
      </c>
      <c r="AP156" s="195" t="str">
        <f t="shared" ca="1" si="11"/>
        <v>Vencida</v>
      </c>
    </row>
    <row r="157" spans="1:42" s="138" customFormat="1" ht="29.25" customHeight="1" x14ac:dyDescent="0.3">
      <c r="A157" s="147"/>
      <c r="B157" s="148"/>
      <c r="C157" s="148"/>
      <c r="D157" s="148"/>
      <c r="E157" s="141"/>
      <c r="F157" s="141"/>
      <c r="G157" s="141"/>
      <c r="H157" s="141"/>
      <c r="I157" s="162"/>
      <c r="J157" s="162"/>
      <c r="K157" s="148"/>
      <c r="L157" s="162"/>
      <c r="M157" s="162"/>
      <c r="N157" s="162"/>
      <c r="O157" s="141"/>
      <c r="P157" s="141"/>
      <c r="Q157" s="147"/>
      <c r="R157" s="147"/>
      <c r="S157" s="147"/>
      <c r="T157" s="147"/>
      <c r="U157" s="147"/>
      <c r="V157" s="152"/>
      <c r="W157" s="147"/>
      <c r="X157" s="147"/>
      <c r="Y157" s="141"/>
      <c r="Z157" s="141"/>
      <c r="AA157" s="141"/>
      <c r="AB157" s="141"/>
      <c r="AC157" s="141"/>
      <c r="AD157" s="160"/>
      <c r="AE157" s="153"/>
      <c r="AF157" s="153"/>
      <c r="AG157" s="141"/>
      <c r="AH157" s="141"/>
      <c r="AI157" s="141"/>
      <c r="AJ157" s="141"/>
      <c r="AK157" s="147"/>
      <c r="AL157" s="147"/>
      <c r="AM157" s="141" t="str">
        <f t="shared" ca="1" si="8"/>
        <v>Desactualizado</v>
      </c>
      <c r="AN157" s="190">
        <f t="shared" si="9"/>
        <v>0</v>
      </c>
      <c r="AO157" s="193">
        <f t="shared" ca="1" si="10"/>
        <v>-1505.5666666666666</v>
      </c>
      <c r="AP157" s="195" t="str">
        <f t="shared" ca="1" si="11"/>
        <v>Vencida</v>
      </c>
    </row>
    <row r="158" spans="1:42" s="138" customFormat="1" ht="29.25" customHeight="1" x14ac:dyDescent="0.3">
      <c r="A158" s="147"/>
      <c r="B158" s="148"/>
      <c r="C158" s="148"/>
      <c r="D158" s="148"/>
      <c r="E158" s="141"/>
      <c r="F158" s="141"/>
      <c r="G158" s="141"/>
      <c r="H158" s="141"/>
      <c r="I158" s="162"/>
      <c r="J158" s="162"/>
      <c r="K158" s="148"/>
      <c r="L158" s="162"/>
      <c r="M158" s="162"/>
      <c r="N158" s="162"/>
      <c r="O158" s="141"/>
      <c r="P158" s="141"/>
      <c r="Q158" s="147"/>
      <c r="R158" s="147"/>
      <c r="S158" s="147"/>
      <c r="T158" s="147"/>
      <c r="U158" s="147"/>
      <c r="V158" s="152"/>
      <c r="W158" s="147"/>
      <c r="X158" s="147"/>
      <c r="Y158" s="141"/>
      <c r="Z158" s="141"/>
      <c r="AA158" s="141"/>
      <c r="AB158" s="141"/>
      <c r="AC158" s="141"/>
      <c r="AD158" s="160"/>
      <c r="AE158" s="153"/>
      <c r="AF158" s="153"/>
      <c r="AG158" s="141"/>
      <c r="AH158" s="141"/>
      <c r="AI158" s="141"/>
      <c r="AJ158" s="141"/>
      <c r="AK158" s="147"/>
      <c r="AL158" s="147"/>
      <c r="AM158" s="141" t="str">
        <f t="shared" ca="1" si="8"/>
        <v>Desactualizado</v>
      </c>
      <c r="AN158" s="190">
        <f t="shared" si="9"/>
        <v>0</v>
      </c>
      <c r="AO158" s="193">
        <f t="shared" ca="1" si="10"/>
        <v>-1505.5666666666666</v>
      </c>
      <c r="AP158" s="195" t="str">
        <f t="shared" ca="1" si="11"/>
        <v>Vencida</v>
      </c>
    </row>
    <row r="159" spans="1:42" s="138" customFormat="1" ht="29.25" customHeight="1" x14ac:dyDescent="0.3">
      <c r="A159" s="147"/>
      <c r="B159" s="148"/>
      <c r="C159" s="148"/>
      <c r="D159" s="148"/>
      <c r="E159" s="141"/>
      <c r="F159" s="141"/>
      <c r="G159" s="141"/>
      <c r="H159" s="141"/>
      <c r="I159" s="162"/>
      <c r="J159" s="162"/>
      <c r="K159" s="148"/>
      <c r="L159" s="162"/>
      <c r="M159" s="162"/>
      <c r="N159" s="162"/>
      <c r="O159" s="141"/>
      <c r="P159" s="141"/>
      <c r="Q159" s="147"/>
      <c r="R159" s="147"/>
      <c r="S159" s="147"/>
      <c r="T159" s="147"/>
      <c r="U159" s="147"/>
      <c r="V159" s="152"/>
      <c r="W159" s="147"/>
      <c r="X159" s="147"/>
      <c r="Y159" s="141"/>
      <c r="Z159" s="141"/>
      <c r="AA159" s="141"/>
      <c r="AB159" s="141"/>
      <c r="AC159" s="141"/>
      <c r="AD159" s="160"/>
      <c r="AE159" s="153"/>
      <c r="AF159" s="153"/>
      <c r="AG159" s="141"/>
      <c r="AH159" s="141"/>
      <c r="AI159" s="141"/>
      <c r="AJ159" s="141"/>
      <c r="AK159" s="147"/>
      <c r="AL159" s="147"/>
      <c r="AM159" s="141" t="str">
        <f t="shared" ca="1" si="8"/>
        <v>Desactualizado</v>
      </c>
      <c r="AN159" s="190">
        <f t="shared" si="9"/>
        <v>0</v>
      </c>
      <c r="AO159" s="193">
        <f t="shared" ca="1" si="10"/>
        <v>-1505.5666666666666</v>
      </c>
      <c r="AP159" s="195" t="str">
        <f t="shared" ca="1" si="11"/>
        <v>Vencida</v>
      </c>
    </row>
    <row r="160" spans="1:42" s="138" customFormat="1" ht="29.25" customHeight="1" x14ac:dyDescent="0.3">
      <c r="A160" s="147"/>
      <c r="B160" s="148"/>
      <c r="C160" s="148"/>
      <c r="D160" s="148"/>
      <c r="E160" s="141"/>
      <c r="F160" s="141"/>
      <c r="G160" s="141"/>
      <c r="H160" s="141"/>
      <c r="I160" s="162"/>
      <c r="J160" s="162"/>
      <c r="K160" s="148"/>
      <c r="L160" s="162"/>
      <c r="M160" s="162"/>
      <c r="N160" s="162"/>
      <c r="O160" s="141"/>
      <c r="P160" s="141"/>
      <c r="Q160" s="147"/>
      <c r="R160" s="147"/>
      <c r="S160" s="147"/>
      <c r="T160" s="147"/>
      <c r="U160" s="147"/>
      <c r="V160" s="152"/>
      <c r="W160" s="147"/>
      <c r="X160" s="147"/>
      <c r="Y160" s="141"/>
      <c r="Z160" s="141"/>
      <c r="AA160" s="141"/>
      <c r="AB160" s="141"/>
      <c r="AC160" s="141"/>
      <c r="AD160" s="160"/>
      <c r="AE160" s="153"/>
      <c r="AF160" s="153"/>
      <c r="AG160" s="141"/>
      <c r="AH160" s="141"/>
      <c r="AI160" s="141"/>
      <c r="AJ160" s="141"/>
      <c r="AK160" s="147"/>
      <c r="AL160" s="147"/>
      <c r="AM160" s="141" t="str">
        <f t="shared" ca="1" si="8"/>
        <v>Desactualizado</v>
      </c>
      <c r="AN160" s="190">
        <f t="shared" si="9"/>
        <v>0</v>
      </c>
      <c r="AO160" s="193">
        <f t="shared" ca="1" si="10"/>
        <v>-1505.5666666666666</v>
      </c>
      <c r="AP160" s="195" t="str">
        <f t="shared" ca="1" si="11"/>
        <v>Vencida</v>
      </c>
    </row>
    <row r="161" spans="1:42" s="138" customFormat="1" ht="29.25" customHeight="1" x14ac:dyDescent="0.3">
      <c r="A161" s="147"/>
      <c r="B161" s="148"/>
      <c r="C161" s="148"/>
      <c r="D161" s="148"/>
      <c r="E161" s="141"/>
      <c r="F161" s="141"/>
      <c r="G161" s="141"/>
      <c r="H161" s="141"/>
      <c r="I161" s="162"/>
      <c r="J161" s="162"/>
      <c r="K161" s="148"/>
      <c r="L161" s="162"/>
      <c r="M161" s="162"/>
      <c r="N161" s="162"/>
      <c r="O161" s="141"/>
      <c r="P161" s="141"/>
      <c r="Q161" s="147"/>
      <c r="R161" s="147"/>
      <c r="S161" s="147"/>
      <c r="T161" s="147"/>
      <c r="U161" s="147"/>
      <c r="V161" s="152"/>
      <c r="W161" s="147"/>
      <c r="X161" s="147"/>
      <c r="Y161" s="141"/>
      <c r="Z161" s="141"/>
      <c r="AA161" s="141"/>
      <c r="AB161" s="141"/>
      <c r="AC161" s="141"/>
      <c r="AD161" s="160"/>
      <c r="AE161" s="153"/>
      <c r="AF161" s="153"/>
      <c r="AG161" s="141"/>
      <c r="AH161" s="141"/>
      <c r="AI161" s="141"/>
      <c r="AJ161" s="141"/>
      <c r="AK161" s="147"/>
      <c r="AL161" s="147"/>
      <c r="AM161" s="141" t="str">
        <f t="shared" ca="1" si="8"/>
        <v>Desactualizado</v>
      </c>
      <c r="AN161" s="190">
        <f t="shared" si="9"/>
        <v>0</v>
      </c>
      <c r="AO161" s="193">
        <f t="shared" ca="1" si="10"/>
        <v>-1505.5666666666666</v>
      </c>
      <c r="AP161" s="195" t="str">
        <f t="shared" ca="1" si="11"/>
        <v>Vencida</v>
      </c>
    </row>
    <row r="162" spans="1:42" s="138" customFormat="1" ht="29.25" customHeight="1" x14ac:dyDescent="0.3">
      <c r="A162" s="147"/>
      <c r="B162" s="148"/>
      <c r="C162" s="148"/>
      <c r="D162" s="148"/>
      <c r="E162" s="141"/>
      <c r="F162" s="141"/>
      <c r="G162" s="141"/>
      <c r="H162" s="141"/>
      <c r="I162" s="162"/>
      <c r="J162" s="162"/>
      <c r="K162" s="148"/>
      <c r="L162" s="162"/>
      <c r="M162" s="162"/>
      <c r="N162" s="162"/>
      <c r="O162" s="141"/>
      <c r="P162" s="141"/>
      <c r="Q162" s="147"/>
      <c r="R162" s="147"/>
      <c r="S162" s="147"/>
      <c r="T162" s="147"/>
      <c r="U162" s="147"/>
      <c r="V162" s="152"/>
      <c r="W162" s="147"/>
      <c r="X162" s="147"/>
      <c r="Y162" s="141"/>
      <c r="Z162" s="141"/>
      <c r="AA162" s="141"/>
      <c r="AB162" s="141"/>
      <c r="AC162" s="141"/>
      <c r="AD162" s="160"/>
      <c r="AE162" s="153"/>
      <c r="AF162" s="153"/>
      <c r="AG162" s="141"/>
      <c r="AH162" s="141"/>
      <c r="AI162" s="141"/>
      <c r="AJ162" s="141"/>
      <c r="AK162" s="147"/>
      <c r="AL162" s="147"/>
      <c r="AM162" s="141" t="str">
        <f t="shared" ca="1" si="8"/>
        <v>Desactualizado</v>
      </c>
      <c r="AN162" s="190">
        <f t="shared" si="9"/>
        <v>0</v>
      </c>
      <c r="AO162" s="193">
        <f t="shared" ca="1" si="10"/>
        <v>-1505.5666666666666</v>
      </c>
      <c r="AP162" s="195" t="str">
        <f t="shared" ca="1" si="11"/>
        <v>Vencida</v>
      </c>
    </row>
    <row r="163" spans="1:42" s="138" customFormat="1" ht="29.25" customHeight="1" x14ac:dyDescent="0.3">
      <c r="A163" s="147"/>
      <c r="B163" s="148"/>
      <c r="C163" s="148"/>
      <c r="D163" s="148"/>
      <c r="E163" s="141"/>
      <c r="F163" s="141"/>
      <c r="G163" s="141"/>
      <c r="H163" s="141"/>
      <c r="I163" s="162"/>
      <c r="J163" s="162"/>
      <c r="K163" s="148"/>
      <c r="L163" s="162"/>
      <c r="M163" s="162"/>
      <c r="N163" s="162"/>
      <c r="O163" s="141"/>
      <c r="P163" s="141"/>
      <c r="Q163" s="147"/>
      <c r="R163" s="147"/>
      <c r="S163" s="147"/>
      <c r="T163" s="147"/>
      <c r="U163" s="147"/>
      <c r="V163" s="152"/>
      <c r="W163" s="147"/>
      <c r="X163" s="147"/>
      <c r="Y163" s="141"/>
      <c r="Z163" s="141"/>
      <c r="AA163" s="141"/>
      <c r="AB163" s="141"/>
      <c r="AC163" s="141"/>
      <c r="AD163" s="160"/>
      <c r="AE163" s="153"/>
      <c r="AF163" s="153"/>
      <c r="AG163" s="141"/>
      <c r="AH163" s="141"/>
      <c r="AI163" s="141"/>
      <c r="AJ163" s="141"/>
      <c r="AK163" s="147"/>
      <c r="AL163" s="147"/>
      <c r="AM163" s="141" t="str">
        <f t="shared" ca="1" si="8"/>
        <v>Desactualizado</v>
      </c>
      <c r="AN163" s="190">
        <f t="shared" si="9"/>
        <v>0</v>
      </c>
      <c r="AO163" s="193">
        <f t="shared" ca="1" si="10"/>
        <v>-1505.5666666666666</v>
      </c>
      <c r="AP163" s="195" t="str">
        <f t="shared" ca="1" si="11"/>
        <v>Vencida</v>
      </c>
    </row>
    <row r="164" spans="1:42" s="138" customFormat="1" ht="29.25" customHeight="1" x14ac:dyDescent="0.3">
      <c r="A164" s="147"/>
      <c r="B164" s="148"/>
      <c r="C164" s="148"/>
      <c r="D164" s="148"/>
      <c r="E164" s="141"/>
      <c r="F164" s="141"/>
      <c r="G164" s="141"/>
      <c r="H164" s="141"/>
      <c r="I164" s="162"/>
      <c r="J164" s="162"/>
      <c r="K164" s="148"/>
      <c r="L164" s="162"/>
      <c r="M164" s="162"/>
      <c r="N164" s="162"/>
      <c r="O164" s="141"/>
      <c r="P164" s="141"/>
      <c r="Q164" s="147"/>
      <c r="R164" s="147"/>
      <c r="S164" s="147"/>
      <c r="T164" s="147"/>
      <c r="U164" s="147"/>
      <c r="V164" s="152"/>
      <c r="W164" s="147"/>
      <c r="X164" s="147"/>
      <c r="Y164" s="141"/>
      <c r="Z164" s="141"/>
      <c r="AA164" s="141"/>
      <c r="AB164" s="141"/>
      <c r="AC164" s="141"/>
      <c r="AD164" s="160"/>
      <c r="AE164" s="153"/>
      <c r="AF164" s="153"/>
      <c r="AG164" s="141"/>
      <c r="AH164" s="141"/>
      <c r="AI164" s="141"/>
      <c r="AJ164" s="141"/>
      <c r="AK164" s="147"/>
      <c r="AL164" s="147"/>
      <c r="AM164" s="141" t="str">
        <f t="shared" ca="1" si="8"/>
        <v>Desactualizado</v>
      </c>
      <c r="AN164" s="190">
        <f t="shared" si="9"/>
        <v>0</v>
      </c>
      <c r="AO164" s="193">
        <f t="shared" ca="1" si="10"/>
        <v>-1505.5666666666666</v>
      </c>
      <c r="AP164" s="195" t="str">
        <f t="shared" ca="1" si="11"/>
        <v>Vencida</v>
      </c>
    </row>
    <row r="165" spans="1:42" s="138" customFormat="1" ht="29.25" customHeight="1" x14ac:dyDescent="0.3">
      <c r="A165" s="147"/>
      <c r="B165" s="141"/>
      <c r="C165" s="141"/>
      <c r="D165" s="141"/>
      <c r="E165" s="141"/>
      <c r="F165" s="141"/>
      <c r="G165" s="141"/>
      <c r="H165" s="141"/>
      <c r="I165" s="148"/>
      <c r="J165" s="148"/>
      <c r="K165" s="148"/>
      <c r="L165" s="148"/>
      <c r="M165" s="148"/>
      <c r="N165" s="148"/>
      <c r="O165" s="141"/>
      <c r="P165" s="141"/>
      <c r="Q165" s="147"/>
      <c r="R165" s="147"/>
      <c r="S165" s="147"/>
      <c r="T165" s="147"/>
      <c r="U165" s="147"/>
      <c r="V165" s="152"/>
      <c r="W165" s="147"/>
      <c r="X165" s="147"/>
      <c r="Y165" s="141"/>
      <c r="Z165" s="141"/>
      <c r="AA165" s="141"/>
      <c r="AB165" s="141"/>
      <c r="AC165" s="141"/>
      <c r="AD165" s="160"/>
      <c r="AE165" s="153"/>
      <c r="AF165" s="153"/>
      <c r="AG165" s="141"/>
      <c r="AH165" s="141"/>
      <c r="AI165" s="141"/>
      <c r="AJ165" s="141"/>
      <c r="AK165" s="147"/>
      <c r="AL165" s="147"/>
      <c r="AM165" s="141" t="str">
        <f t="shared" ca="1" si="8"/>
        <v>Desactualizado</v>
      </c>
      <c r="AN165" s="190">
        <f t="shared" si="9"/>
        <v>0</v>
      </c>
      <c r="AO165" s="193">
        <f t="shared" ca="1" si="10"/>
        <v>-1505.5666666666666</v>
      </c>
      <c r="AP165" s="195" t="str">
        <f t="shared" ca="1" si="11"/>
        <v>Vencida</v>
      </c>
    </row>
    <row r="166" spans="1:42" s="138" customFormat="1" ht="29.25" customHeight="1" x14ac:dyDescent="0.3">
      <c r="A166" s="147"/>
      <c r="B166" s="147"/>
      <c r="C166" s="147"/>
      <c r="D166" s="147"/>
      <c r="E166" s="141"/>
      <c r="F166" s="141"/>
      <c r="G166" s="141"/>
      <c r="H166" s="141"/>
      <c r="I166" s="148"/>
      <c r="J166" s="148"/>
      <c r="K166" s="148"/>
      <c r="L166" s="148"/>
      <c r="M166" s="148"/>
      <c r="N166" s="148"/>
      <c r="O166" s="141"/>
      <c r="P166" s="141"/>
      <c r="Q166" s="147"/>
      <c r="R166" s="147"/>
      <c r="S166" s="147"/>
      <c r="T166" s="147"/>
      <c r="U166" s="147"/>
      <c r="V166" s="152"/>
      <c r="W166" s="147"/>
      <c r="X166" s="147"/>
      <c r="Y166" s="141"/>
      <c r="Z166" s="141"/>
      <c r="AA166" s="141"/>
      <c r="AB166" s="141"/>
      <c r="AC166" s="141"/>
      <c r="AD166" s="160"/>
      <c r="AE166" s="153"/>
      <c r="AF166" s="153"/>
      <c r="AG166" s="141"/>
      <c r="AH166" s="141"/>
      <c r="AI166" s="141"/>
      <c r="AJ166" s="141"/>
      <c r="AK166" s="147"/>
      <c r="AL166" s="175"/>
      <c r="AM166" s="141" t="str">
        <f t="shared" ca="1" si="8"/>
        <v>Desactualizado</v>
      </c>
      <c r="AN166" s="190">
        <f t="shared" si="9"/>
        <v>0</v>
      </c>
      <c r="AO166" s="193">
        <f t="shared" ca="1" si="10"/>
        <v>-1505.5666666666666</v>
      </c>
      <c r="AP166" s="195" t="str">
        <f t="shared" ca="1" si="11"/>
        <v>Vencida</v>
      </c>
    </row>
    <row r="167" spans="1:42" s="138" customFormat="1" ht="29.25" customHeight="1" x14ac:dyDescent="0.3">
      <c r="A167" s="147"/>
      <c r="B167" s="141"/>
      <c r="C167" s="141"/>
      <c r="D167" s="141"/>
      <c r="E167" s="141"/>
      <c r="F167" s="141"/>
      <c r="G167" s="141"/>
      <c r="H167" s="141"/>
      <c r="I167" s="148"/>
      <c r="J167" s="148"/>
      <c r="K167" s="148"/>
      <c r="L167" s="148"/>
      <c r="M167" s="148"/>
      <c r="N167" s="148"/>
      <c r="O167" s="141"/>
      <c r="P167" s="141"/>
      <c r="Q167" s="147"/>
      <c r="R167" s="147"/>
      <c r="S167" s="147"/>
      <c r="T167" s="147"/>
      <c r="U167" s="147"/>
      <c r="V167" s="152"/>
      <c r="W167" s="147"/>
      <c r="X167" s="147"/>
      <c r="Y167" s="141"/>
      <c r="Z167" s="141"/>
      <c r="AA167" s="141"/>
      <c r="AB167" s="141"/>
      <c r="AC167" s="141"/>
      <c r="AD167" s="160"/>
      <c r="AE167" s="153"/>
      <c r="AF167" s="153"/>
      <c r="AG167" s="141"/>
      <c r="AH167" s="141"/>
      <c r="AI167" s="141"/>
      <c r="AJ167" s="141"/>
      <c r="AK167" s="147"/>
      <c r="AL167" s="147"/>
      <c r="AM167" s="141" t="str">
        <f t="shared" ca="1" si="8"/>
        <v>Desactualizado</v>
      </c>
      <c r="AN167" s="190">
        <f t="shared" si="9"/>
        <v>0</v>
      </c>
      <c r="AO167" s="193">
        <f t="shared" ca="1" si="10"/>
        <v>-1505.5666666666666</v>
      </c>
      <c r="AP167" s="195" t="str">
        <f t="shared" ca="1" si="11"/>
        <v>Vencida</v>
      </c>
    </row>
    <row r="168" spans="1:42" s="138" customFormat="1" ht="29.25" customHeight="1" x14ac:dyDescent="0.3">
      <c r="A168" s="147"/>
      <c r="B168" s="141"/>
      <c r="C168" s="141"/>
      <c r="D168" s="141"/>
      <c r="E168" s="141"/>
      <c r="F168" s="141"/>
      <c r="G168" s="141"/>
      <c r="H168" s="141"/>
      <c r="I168" s="148"/>
      <c r="J168" s="148"/>
      <c r="K168" s="148"/>
      <c r="L168" s="148"/>
      <c r="M168" s="148"/>
      <c r="N168" s="148"/>
      <c r="O168" s="141"/>
      <c r="P168" s="141"/>
      <c r="Q168" s="147"/>
      <c r="R168" s="147"/>
      <c r="S168" s="147"/>
      <c r="T168" s="147"/>
      <c r="U168" s="147"/>
      <c r="V168" s="152"/>
      <c r="W168" s="147"/>
      <c r="X168" s="147"/>
      <c r="Y168" s="141"/>
      <c r="Z168" s="141"/>
      <c r="AA168" s="141"/>
      <c r="AB168" s="141"/>
      <c r="AC168" s="141"/>
      <c r="AD168" s="160"/>
      <c r="AE168" s="153"/>
      <c r="AF168" s="153"/>
      <c r="AG168" s="141"/>
      <c r="AH168" s="141"/>
      <c r="AI168" s="141"/>
      <c r="AJ168" s="141"/>
      <c r="AK168" s="147"/>
      <c r="AL168" s="147"/>
      <c r="AM168" s="141" t="str">
        <f t="shared" ca="1" si="8"/>
        <v>Desactualizado</v>
      </c>
      <c r="AN168" s="190">
        <f t="shared" si="9"/>
        <v>0</v>
      </c>
      <c r="AO168" s="193">
        <f t="shared" ca="1" si="10"/>
        <v>-1505.5666666666666</v>
      </c>
      <c r="AP168" s="195" t="str">
        <f t="shared" ca="1" si="11"/>
        <v>Vencida</v>
      </c>
    </row>
    <row r="169" spans="1:42" s="138" customFormat="1" ht="29.25" customHeight="1" x14ac:dyDescent="0.3">
      <c r="A169" s="147"/>
      <c r="B169" s="141"/>
      <c r="C169" s="141"/>
      <c r="D169" s="141"/>
      <c r="E169" s="141"/>
      <c r="F169" s="141"/>
      <c r="G169" s="141"/>
      <c r="H169" s="141"/>
      <c r="I169" s="148"/>
      <c r="J169" s="148"/>
      <c r="K169" s="148"/>
      <c r="L169" s="148"/>
      <c r="M169" s="148"/>
      <c r="N169" s="148"/>
      <c r="O169" s="141"/>
      <c r="P169" s="141"/>
      <c r="Q169" s="147"/>
      <c r="R169" s="147"/>
      <c r="S169" s="147"/>
      <c r="T169" s="147"/>
      <c r="U169" s="147"/>
      <c r="V169" s="152"/>
      <c r="W169" s="147"/>
      <c r="X169" s="147"/>
      <c r="Y169" s="141"/>
      <c r="Z169" s="141"/>
      <c r="AA169" s="141"/>
      <c r="AB169" s="141"/>
      <c r="AC169" s="141"/>
      <c r="AD169" s="160"/>
      <c r="AE169" s="153"/>
      <c r="AF169" s="153"/>
      <c r="AG169" s="141"/>
      <c r="AH169" s="141"/>
      <c r="AI169" s="141"/>
      <c r="AJ169" s="141"/>
      <c r="AK169" s="147"/>
      <c r="AL169" s="147"/>
      <c r="AM169" s="141" t="str">
        <f t="shared" ca="1" si="8"/>
        <v>Desactualizado</v>
      </c>
      <c r="AN169" s="190">
        <f t="shared" si="9"/>
        <v>0</v>
      </c>
      <c r="AO169" s="193">
        <f t="shared" ca="1" si="10"/>
        <v>-1505.5666666666666</v>
      </c>
      <c r="AP169" s="195" t="str">
        <f t="shared" ca="1" si="11"/>
        <v>Vencida</v>
      </c>
    </row>
    <row r="170" spans="1:42" s="138" customFormat="1" ht="29.25" customHeight="1" x14ac:dyDescent="0.3">
      <c r="A170" s="147"/>
      <c r="B170" s="141"/>
      <c r="C170" s="141"/>
      <c r="D170" s="141"/>
      <c r="E170" s="141"/>
      <c r="F170" s="141"/>
      <c r="G170" s="141"/>
      <c r="H170" s="141"/>
      <c r="I170" s="148"/>
      <c r="J170" s="148"/>
      <c r="K170" s="148"/>
      <c r="L170" s="148"/>
      <c r="M170" s="148"/>
      <c r="N170" s="148"/>
      <c r="O170" s="141"/>
      <c r="P170" s="141"/>
      <c r="Q170" s="147"/>
      <c r="R170" s="147"/>
      <c r="S170" s="147"/>
      <c r="T170" s="147"/>
      <c r="U170" s="147"/>
      <c r="V170" s="152"/>
      <c r="W170" s="147"/>
      <c r="X170" s="147"/>
      <c r="Y170" s="141"/>
      <c r="Z170" s="141"/>
      <c r="AA170" s="141"/>
      <c r="AB170" s="141"/>
      <c r="AC170" s="141"/>
      <c r="AD170" s="160"/>
      <c r="AE170" s="153"/>
      <c r="AF170" s="153"/>
      <c r="AG170" s="141"/>
      <c r="AH170" s="141"/>
      <c r="AI170" s="141"/>
      <c r="AJ170" s="141"/>
      <c r="AK170" s="147"/>
      <c r="AL170" s="147"/>
      <c r="AM170" s="141" t="str">
        <f t="shared" ca="1" si="8"/>
        <v>Desactualizado</v>
      </c>
      <c r="AN170" s="190">
        <f t="shared" si="9"/>
        <v>0</v>
      </c>
      <c r="AO170" s="193">
        <f t="shared" ca="1" si="10"/>
        <v>-1505.5666666666666</v>
      </c>
      <c r="AP170" s="195" t="str">
        <f t="shared" ca="1" si="11"/>
        <v>Vencida</v>
      </c>
    </row>
    <row r="171" spans="1:42" s="138" customFormat="1" ht="29.25" customHeight="1" x14ac:dyDescent="0.3">
      <c r="A171" s="147"/>
      <c r="B171" s="141"/>
      <c r="C171" s="141"/>
      <c r="D171" s="141"/>
      <c r="E171" s="141"/>
      <c r="F171" s="141"/>
      <c r="G171" s="141"/>
      <c r="H171" s="141"/>
      <c r="I171" s="148"/>
      <c r="J171" s="148"/>
      <c r="K171" s="148"/>
      <c r="L171" s="148"/>
      <c r="M171" s="148"/>
      <c r="N171" s="148"/>
      <c r="O171" s="141"/>
      <c r="P171" s="141"/>
      <c r="Q171" s="147"/>
      <c r="R171" s="147"/>
      <c r="S171" s="147"/>
      <c r="T171" s="147"/>
      <c r="U171" s="147"/>
      <c r="V171" s="152"/>
      <c r="W171" s="147"/>
      <c r="X171" s="147"/>
      <c r="Y171" s="141"/>
      <c r="Z171" s="141"/>
      <c r="AA171" s="141"/>
      <c r="AB171" s="141"/>
      <c r="AC171" s="141"/>
      <c r="AD171" s="160"/>
      <c r="AE171" s="153"/>
      <c r="AF171" s="153"/>
      <c r="AG171" s="141"/>
      <c r="AH171" s="141"/>
      <c r="AI171" s="141"/>
      <c r="AJ171" s="141"/>
      <c r="AK171" s="147"/>
      <c r="AL171" s="147"/>
      <c r="AM171" s="141" t="str">
        <f t="shared" ca="1" si="8"/>
        <v>Desactualizado</v>
      </c>
      <c r="AN171" s="190">
        <f t="shared" si="9"/>
        <v>0</v>
      </c>
      <c r="AO171" s="193">
        <f t="shared" ca="1" si="10"/>
        <v>-1505.5666666666666</v>
      </c>
      <c r="AP171" s="195" t="str">
        <f t="shared" ca="1" si="11"/>
        <v>Vencida</v>
      </c>
    </row>
    <row r="172" spans="1:42" s="138" customFormat="1" ht="29.25" customHeight="1" x14ac:dyDescent="0.3">
      <c r="A172" s="147"/>
      <c r="B172" s="141"/>
      <c r="C172" s="141"/>
      <c r="D172" s="141"/>
      <c r="E172" s="141"/>
      <c r="F172" s="141"/>
      <c r="G172" s="141"/>
      <c r="H172" s="141"/>
      <c r="I172" s="148"/>
      <c r="J172" s="148"/>
      <c r="K172" s="148"/>
      <c r="L172" s="148"/>
      <c r="M172" s="148"/>
      <c r="N172" s="148"/>
      <c r="O172" s="141"/>
      <c r="P172" s="141"/>
      <c r="Q172" s="147"/>
      <c r="R172" s="147"/>
      <c r="S172" s="147"/>
      <c r="T172" s="147"/>
      <c r="U172" s="147"/>
      <c r="V172" s="152"/>
      <c r="W172" s="147"/>
      <c r="X172" s="147"/>
      <c r="Y172" s="141"/>
      <c r="Z172" s="141"/>
      <c r="AA172" s="141"/>
      <c r="AB172" s="141"/>
      <c r="AC172" s="141"/>
      <c r="AD172" s="160"/>
      <c r="AE172" s="153"/>
      <c r="AF172" s="153"/>
      <c r="AG172" s="141"/>
      <c r="AH172" s="141"/>
      <c r="AI172" s="141"/>
      <c r="AJ172" s="141"/>
      <c r="AK172" s="147"/>
      <c r="AL172" s="147"/>
      <c r="AM172" s="141" t="str">
        <f t="shared" ca="1" si="8"/>
        <v>Desactualizado</v>
      </c>
      <c r="AN172" s="190">
        <f t="shared" si="9"/>
        <v>0</v>
      </c>
      <c r="AO172" s="193">
        <f t="shared" ca="1" si="10"/>
        <v>-1505.5666666666666</v>
      </c>
      <c r="AP172" s="195" t="str">
        <f t="shared" ca="1" si="11"/>
        <v>Vencida</v>
      </c>
    </row>
    <row r="173" spans="1:42" s="138" customFormat="1" ht="29.25" customHeight="1" x14ac:dyDescent="0.3">
      <c r="A173" s="147"/>
      <c r="B173" s="141"/>
      <c r="C173" s="141"/>
      <c r="D173" s="141"/>
      <c r="E173" s="141"/>
      <c r="F173" s="141"/>
      <c r="G173" s="141"/>
      <c r="H173" s="141"/>
      <c r="I173" s="148"/>
      <c r="J173" s="148"/>
      <c r="K173" s="148"/>
      <c r="L173" s="148"/>
      <c r="M173" s="148"/>
      <c r="N173" s="148"/>
      <c r="O173" s="141"/>
      <c r="P173" s="141"/>
      <c r="Q173" s="147"/>
      <c r="R173" s="147"/>
      <c r="S173" s="147"/>
      <c r="T173" s="147"/>
      <c r="U173" s="147"/>
      <c r="V173" s="152"/>
      <c r="W173" s="147"/>
      <c r="X173" s="147"/>
      <c r="Y173" s="141"/>
      <c r="Z173" s="141"/>
      <c r="AA173" s="141"/>
      <c r="AB173" s="141"/>
      <c r="AC173" s="141"/>
      <c r="AD173" s="160"/>
      <c r="AE173" s="153"/>
      <c r="AF173" s="153"/>
      <c r="AG173" s="141"/>
      <c r="AH173" s="141"/>
      <c r="AI173" s="141"/>
      <c r="AJ173" s="141"/>
      <c r="AK173" s="147"/>
      <c r="AL173" s="147"/>
      <c r="AM173" s="141" t="str">
        <f t="shared" ca="1" si="8"/>
        <v>Desactualizado</v>
      </c>
      <c r="AN173" s="190">
        <f t="shared" si="9"/>
        <v>0</v>
      </c>
      <c r="AO173" s="193">
        <f t="shared" ca="1" si="10"/>
        <v>-1505.5666666666666</v>
      </c>
      <c r="AP173" s="195" t="str">
        <f t="shared" ca="1" si="11"/>
        <v>Vencida</v>
      </c>
    </row>
    <row r="174" spans="1:42" s="138" customFormat="1" ht="29.25" customHeight="1" x14ac:dyDescent="0.3">
      <c r="A174" s="147"/>
      <c r="B174" s="141"/>
      <c r="C174" s="141"/>
      <c r="D174" s="141"/>
      <c r="E174" s="141"/>
      <c r="F174" s="141"/>
      <c r="G174" s="141"/>
      <c r="H174" s="141"/>
      <c r="I174" s="148"/>
      <c r="J174" s="148"/>
      <c r="K174" s="148"/>
      <c r="L174" s="148"/>
      <c r="M174" s="148"/>
      <c r="N174" s="148"/>
      <c r="O174" s="141"/>
      <c r="P174" s="141"/>
      <c r="Q174" s="147"/>
      <c r="R174" s="147"/>
      <c r="S174" s="147"/>
      <c r="T174" s="147"/>
      <c r="U174" s="147"/>
      <c r="V174" s="152"/>
      <c r="W174" s="147"/>
      <c r="X174" s="147"/>
      <c r="Y174" s="141"/>
      <c r="Z174" s="141"/>
      <c r="AA174" s="141"/>
      <c r="AB174" s="141"/>
      <c r="AC174" s="141"/>
      <c r="AD174" s="160"/>
      <c r="AE174" s="153"/>
      <c r="AF174" s="153"/>
      <c r="AG174" s="141"/>
      <c r="AH174" s="141"/>
      <c r="AI174" s="141"/>
      <c r="AJ174" s="141"/>
      <c r="AK174" s="147"/>
      <c r="AL174" s="147"/>
      <c r="AM174" s="141" t="str">
        <f t="shared" ca="1" si="8"/>
        <v>Desactualizado</v>
      </c>
      <c r="AN174" s="190">
        <f t="shared" si="9"/>
        <v>0</v>
      </c>
      <c r="AO174" s="193">
        <f t="shared" ca="1" si="10"/>
        <v>-1505.5666666666666</v>
      </c>
      <c r="AP174" s="195" t="str">
        <f t="shared" ca="1" si="11"/>
        <v>Vencida</v>
      </c>
    </row>
    <row r="175" spans="1:42" s="138" customFormat="1" ht="29.25" customHeight="1" x14ac:dyDescent="0.3">
      <c r="A175" s="147"/>
      <c r="B175" s="141"/>
      <c r="C175" s="141"/>
      <c r="D175" s="141"/>
      <c r="E175" s="141"/>
      <c r="F175" s="141"/>
      <c r="G175" s="141"/>
      <c r="H175" s="141"/>
      <c r="I175" s="148"/>
      <c r="J175" s="148"/>
      <c r="K175" s="148"/>
      <c r="L175" s="148"/>
      <c r="M175" s="148"/>
      <c r="N175" s="148"/>
      <c r="O175" s="141"/>
      <c r="P175" s="141"/>
      <c r="Q175" s="147"/>
      <c r="R175" s="147"/>
      <c r="S175" s="147"/>
      <c r="T175" s="147"/>
      <c r="U175" s="147"/>
      <c r="V175" s="152"/>
      <c r="W175" s="147"/>
      <c r="X175" s="147"/>
      <c r="Y175" s="141"/>
      <c r="Z175" s="141"/>
      <c r="AA175" s="141"/>
      <c r="AB175" s="141"/>
      <c r="AC175" s="141"/>
      <c r="AD175" s="160"/>
      <c r="AE175" s="153"/>
      <c r="AF175" s="153"/>
      <c r="AG175" s="141"/>
      <c r="AH175" s="141"/>
      <c r="AI175" s="141"/>
      <c r="AJ175" s="141"/>
      <c r="AK175" s="147"/>
      <c r="AL175" s="147"/>
      <c r="AM175" s="141" t="str">
        <f t="shared" ca="1" si="8"/>
        <v>Desactualizado</v>
      </c>
      <c r="AN175" s="190">
        <f t="shared" si="9"/>
        <v>0</v>
      </c>
      <c r="AO175" s="193">
        <f t="shared" ca="1" si="10"/>
        <v>-1505.5666666666666</v>
      </c>
      <c r="AP175" s="195" t="str">
        <f t="shared" ca="1" si="11"/>
        <v>Vencida</v>
      </c>
    </row>
    <row r="176" spans="1:42" s="138" customFormat="1" ht="29.25" customHeight="1" x14ac:dyDescent="0.3">
      <c r="A176" s="147"/>
      <c r="B176" s="141"/>
      <c r="C176" s="141"/>
      <c r="D176" s="141"/>
      <c r="E176" s="141"/>
      <c r="F176" s="141"/>
      <c r="G176" s="141"/>
      <c r="H176" s="141"/>
      <c r="I176" s="148"/>
      <c r="J176" s="148"/>
      <c r="K176" s="148"/>
      <c r="L176" s="148"/>
      <c r="M176" s="148"/>
      <c r="N176" s="148"/>
      <c r="O176" s="141"/>
      <c r="P176" s="141"/>
      <c r="Q176" s="147"/>
      <c r="R176" s="147"/>
      <c r="S176" s="147"/>
      <c r="T176" s="147"/>
      <c r="U176" s="147"/>
      <c r="V176" s="152"/>
      <c r="W176" s="147"/>
      <c r="X176" s="147"/>
      <c r="Y176" s="141"/>
      <c r="Z176" s="141"/>
      <c r="AA176" s="141"/>
      <c r="AB176" s="141"/>
      <c r="AC176" s="141"/>
      <c r="AD176" s="160"/>
      <c r="AE176" s="153"/>
      <c r="AF176" s="153"/>
      <c r="AG176" s="141"/>
      <c r="AH176" s="141"/>
      <c r="AI176" s="141"/>
      <c r="AJ176" s="141"/>
      <c r="AK176" s="147"/>
      <c r="AL176" s="147"/>
      <c r="AM176" s="141" t="str">
        <f t="shared" ca="1" si="8"/>
        <v>Desactualizado</v>
      </c>
      <c r="AN176" s="190">
        <f t="shared" si="9"/>
        <v>0</v>
      </c>
      <c r="AO176" s="193">
        <f t="shared" ca="1" si="10"/>
        <v>-1505.5666666666666</v>
      </c>
      <c r="AP176" s="195" t="str">
        <f t="shared" ca="1" si="11"/>
        <v>Vencida</v>
      </c>
    </row>
    <row r="177" spans="1:42" s="138" customFormat="1" ht="29.25" customHeight="1" x14ac:dyDescent="0.3">
      <c r="A177" s="147"/>
      <c r="B177" s="141"/>
      <c r="C177" s="141"/>
      <c r="D177" s="141"/>
      <c r="E177" s="141"/>
      <c r="F177" s="141"/>
      <c r="G177" s="141"/>
      <c r="H177" s="141"/>
      <c r="I177" s="148"/>
      <c r="J177" s="148"/>
      <c r="K177" s="148"/>
      <c r="L177" s="148"/>
      <c r="M177" s="148"/>
      <c r="N177" s="148"/>
      <c r="O177" s="141"/>
      <c r="P177" s="141"/>
      <c r="Q177" s="147"/>
      <c r="R177" s="147"/>
      <c r="S177" s="147"/>
      <c r="T177" s="147"/>
      <c r="U177" s="147"/>
      <c r="V177" s="152"/>
      <c r="W177" s="147"/>
      <c r="X177" s="147"/>
      <c r="Y177" s="141"/>
      <c r="Z177" s="141"/>
      <c r="AA177" s="141"/>
      <c r="AB177" s="141"/>
      <c r="AC177" s="141"/>
      <c r="AD177" s="160"/>
      <c r="AE177" s="153"/>
      <c r="AF177" s="153"/>
      <c r="AG177" s="141"/>
      <c r="AH177" s="141"/>
      <c r="AI177" s="141"/>
      <c r="AJ177" s="141"/>
      <c r="AK177" s="147"/>
      <c r="AL177" s="175"/>
      <c r="AM177" s="141" t="str">
        <f t="shared" ca="1" si="8"/>
        <v>Desactualizado</v>
      </c>
      <c r="AN177" s="190">
        <f t="shared" si="9"/>
        <v>0</v>
      </c>
      <c r="AO177" s="193">
        <f t="shared" ca="1" si="10"/>
        <v>-1505.5666666666666</v>
      </c>
      <c r="AP177" s="195" t="str">
        <f t="shared" ca="1" si="11"/>
        <v>Vencida</v>
      </c>
    </row>
    <row r="178" spans="1:42" s="138" customFormat="1" ht="29.25" customHeight="1" x14ac:dyDescent="0.3">
      <c r="A178" s="147"/>
      <c r="B178" s="141"/>
      <c r="C178" s="141"/>
      <c r="D178" s="141"/>
      <c r="E178" s="141"/>
      <c r="F178" s="141"/>
      <c r="G178" s="141"/>
      <c r="H178" s="141"/>
      <c r="I178" s="148"/>
      <c r="J178" s="148"/>
      <c r="K178" s="148"/>
      <c r="L178" s="148"/>
      <c r="M178" s="148"/>
      <c r="N178" s="148"/>
      <c r="O178" s="141"/>
      <c r="P178" s="141"/>
      <c r="Q178" s="147"/>
      <c r="R178" s="147"/>
      <c r="S178" s="147"/>
      <c r="T178" s="147"/>
      <c r="U178" s="147"/>
      <c r="V178" s="152"/>
      <c r="W178" s="147"/>
      <c r="X178" s="147"/>
      <c r="Y178" s="141"/>
      <c r="Z178" s="141"/>
      <c r="AA178" s="141"/>
      <c r="AB178" s="141"/>
      <c r="AC178" s="141"/>
      <c r="AD178" s="160"/>
      <c r="AE178" s="153"/>
      <c r="AF178" s="153"/>
      <c r="AG178" s="141"/>
      <c r="AH178" s="141"/>
      <c r="AI178" s="141"/>
      <c r="AJ178" s="141"/>
      <c r="AK178" s="147"/>
      <c r="AL178" s="175"/>
      <c r="AM178" s="141" t="str">
        <f t="shared" ca="1" si="8"/>
        <v>Desactualizado</v>
      </c>
      <c r="AN178" s="190">
        <f t="shared" si="9"/>
        <v>0</v>
      </c>
      <c r="AO178" s="193">
        <f t="shared" ca="1" si="10"/>
        <v>-1505.5666666666666</v>
      </c>
      <c r="AP178" s="195" t="str">
        <f t="shared" ca="1" si="11"/>
        <v>Vencida</v>
      </c>
    </row>
    <row r="179" spans="1:42" s="138" customFormat="1" ht="29.25" customHeight="1" x14ac:dyDescent="0.3">
      <c r="A179" s="147"/>
      <c r="B179" s="141"/>
      <c r="C179" s="141"/>
      <c r="D179" s="141"/>
      <c r="E179" s="141"/>
      <c r="F179" s="141"/>
      <c r="G179" s="141"/>
      <c r="H179" s="141"/>
      <c r="I179" s="162"/>
      <c r="J179" s="162"/>
      <c r="K179" s="148"/>
      <c r="L179" s="162"/>
      <c r="M179" s="162"/>
      <c r="N179" s="162"/>
      <c r="O179" s="141"/>
      <c r="P179" s="141"/>
      <c r="Q179" s="147"/>
      <c r="R179" s="147"/>
      <c r="S179" s="147"/>
      <c r="T179" s="147"/>
      <c r="U179" s="147"/>
      <c r="V179" s="152"/>
      <c r="W179" s="147"/>
      <c r="X179" s="147"/>
      <c r="Y179" s="141"/>
      <c r="Z179" s="141"/>
      <c r="AA179" s="141"/>
      <c r="AB179" s="141"/>
      <c r="AC179" s="141"/>
      <c r="AD179" s="160"/>
      <c r="AE179" s="153"/>
      <c r="AF179" s="153"/>
      <c r="AG179" s="141"/>
      <c r="AH179" s="141"/>
      <c r="AI179" s="141"/>
      <c r="AJ179" s="141"/>
      <c r="AK179" s="147"/>
      <c r="AL179" s="147"/>
      <c r="AM179" s="141" t="str">
        <f t="shared" ca="1" si="8"/>
        <v>Desactualizado</v>
      </c>
      <c r="AN179" s="190">
        <f t="shared" si="9"/>
        <v>0</v>
      </c>
      <c r="AO179" s="193">
        <f t="shared" ca="1" si="10"/>
        <v>-1505.5666666666666</v>
      </c>
      <c r="AP179" s="195" t="str">
        <f t="shared" ca="1" si="11"/>
        <v>Vencida</v>
      </c>
    </row>
    <row r="180" spans="1:42" s="138" customFormat="1" ht="29.25" customHeight="1" x14ac:dyDescent="0.3">
      <c r="A180" s="147"/>
      <c r="B180" s="141"/>
      <c r="C180" s="141"/>
      <c r="D180" s="141"/>
      <c r="E180" s="141"/>
      <c r="F180" s="141"/>
      <c r="G180" s="141"/>
      <c r="H180" s="141"/>
      <c r="I180" s="162"/>
      <c r="J180" s="162"/>
      <c r="K180" s="148"/>
      <c r="L180" s="162"/>
      <c r="M180" s="162"/>
      <c r="N180" s="162"/>
      <c r="O180" s="141"/>
      <c r="P180" s="141"/>
      <c r="Q180" s="147"/>
      <c r="R180" s="147"/>
      <c r="S180" s="147"/>
      <c r="T180" s="147"/>
      <c r="U180" s="147"/>
      <c r="V180" s="152"/>
      <c r="W180" s="147"/>
      <c r="X180" s="147"/>
      <c r="Y180" s="141"/>
      <c r="Z180" s="141"/>
      <c r="AA180" s="141"/>
      <c r="AB180" s="141"/>
      <c r="AC180" s="141"/>
      <c r="AD180" s="160"/>
      <c r="AE180" s="153"/>
      <c r="AF180" s="153"/>
      <c r="AG180" s="141"/>
      <c r="AH180" s="141"/>
      <c r="AI180" s="141"/>
      <c r="AJ180" s="141"/>
      <c r="AK180" s="147"/>
      <c r="AL180" s="147"/>
      <c r="AM180" s="141" t="str">
        <f t="shared" ca="1" si="8"/>
        <v>Desactualizado</v>
      </c>
      <c r="AN180" s="190">
        <f t="shared" si="9"/>
        <v>0</v>
      </c>
      <c r="AO180" s="193">
        <f t="shared" ca="1" si="10"/>
        <v>-1505.5666666666666</v>
      </c>
      <c r="AP180" s="195" t="str">
        <f t="shared" ca="1" si="11"/>
        <v>Vencida</v>
      </c>
    </row>
    <row r="181" spans="1:42" s="138" customFormat="1" ht="29.25" customHeight="1" x14ac:dyDescent="0.3">
      <c r="A181" s="147"/>
      <c r="B181" s="141"/>
      <c r="C181" s="141"/>
      <c r="D181" s="141"/>
      <c r="E181" s="141"/>
      <c r="F181" s="141"/>
      <c r="G181" s="141"/>
      <c r="H181" s="141"/>
      <c r="I181" s="148"/>
      <c r="J181" s="148"/>
      <c r="K181" s="148"/>
      <c r="L181" s="148"/>
      <c r="M181" s="148"/>
      <c r="N181" s="148"/>
      <c r="O181" s="141"/>
      <c r="P181" s="141"/>
      <c r="Q181" s="147"/>
      <c r="R181" s="147"/>
      <c r="S181" s="147"/>
      <c r="T181" s="147"/>
      <c r="U181" s="147"/>
      <c r="V181" s="141"/>
      <c r="W181" s="147"/>
      <c r="X181" s="147"/>
      <c r="Y181" s="141"/>
      <c r="Z181" s="141"/>
      <c r="AA181" s="141"/>
      <c r="AB181" s="141"/>
      <c r="AC181" s="141"/>
      <c r="AD181" s="160"/>
      <c r="AE181" s="153"/>
      <c r="AF181" s="153"/>
      <c r="AG181" s="141"/>
      <c r="AH181" s="141"/>
      <c r="AI181" s="141"/>
      <c r="AJ181" s="141"/>
      <c r="AK181" s="147"/>
      <c r="AL181" s="161"/>
      <c r="AM181" s="141" t="str">
        <f t="shared" ca="1" si="8"/>
        <v>Desactualizado</v>
      </c>
      <c r="AN181" s="190">
        <f t="shared" si="9"/>
        <v>0</v>
      </c>
      <c r="AO181" s="193">
        <f t="shared" ca="1" si="10"/>
        <v>-1505.5666666666666</v>
      </c>
      <c r="AP181" s="195" t="str">
        <f t="shared" ca="1" si="11"/>
        <v>Vencida</v>
      </c>
    </row>
    <row r="182" spans="1:42" s="138" customFormat="1" ht="29.25" customHeight="1" x14ac:dyDescent="0.3">
      <c r="A182" s="147"/>
      <c r="B182" s="141"/>
      <c r="C182" s="141"/>
      <c r="D182" s="141"/>
      <c r="E182" s="141"/>
      <c r="F182" s="141"/>
      <c r="G182" s="141"/>
      <c r="H182" s="141"/>
      <c r="I182" s="148"/>
      <c r="J182" s="148"/>
      <c r="K182" s="148"/>
      <c r="L182" s="148"/>
      <c r="M182" s="148"/>
      <c r="N182" s="148"/>
      <c r="O182" s="141"/>
      <c r="P182" s="141"/>
      <c r="Q182" s="147"/>
      <c r="R182" s="147"/>
      <c r="S182" s="147"/>
      <c r="T182" s="147"/>
      <c r="U182" s="147"/>
      <c r="V182" s="152"/>
      <c r="W182" s="147"/>
      <c r="X182" s="147"/>
      <c r="Y182" s="141"/>
      <c r="Z182" s="141"/>
      <c r="AA182" s="141"/>
      <c r="AB182" s="141"/>
      <c r="AC182" s="141"/>
      <c r="AD182" s="160"/>
      <c r="AE182" s="153"/>
      <c r="AF182" s="153"/>
      <c r="AG182" s="141"/>
      <c r="AH182" s="141"/>
      <c r="AI182" s="141"/>
      <c r="AJ182" s="141"/>
      <c r="AK182" s="147"/>
      <c r="AL182" s="147"/>
      <c r="AM182" s="141" t="str">
        <f t="shared" ca="1" si="8"/>
        <v>Desactualizado</v>
      </c>
      <c r="AN182" s="190">
        <f t="shared" si="9"/>
        <v>0</v>
      </c>
      <c r="AO182" s="193">
        <f t="shared" ca="1" si="10"/>
        <v>-1505.5666666666666</v>
      </c>
      <c r="AP182" s="195" t="str">
        <f t="shared" ca="1" si="11"/>
        <v>Vencida</v>
      </c>
    </row>
    <row r="183" spans="1:42" s="138" customFormat="1" ht="29.25" customHeight="1" x14ac:dyDescent="0.3">
      <c r="A183" s="147"/>
      <c r="B183" s="141"/>
      <c r="C183" s="141"/>
      <c r="D183" s="141"/>
      <c r="E183" s="141"/>
      <c r="F183" s="141"/>
      <c r="G183" s="141"/>
      <c r="H183" s="141"/>
      <c r="I183" s="148"/>
      <c r="J183" s="148"/>
      <c r="K183" s="148"/>
      <c r="L183" s="148"/>
      <c r="M183" s="148"/>
      <c r="N183" s="148"/>
      <c r="O183" s="141"/>
      <c r="P183" s="141"/>
      <c r="Q183" s="147"/>
      <c r="R183" s="147"/>
      <c r="S183" s="147"/>
      <c r="T183" s="147"/>
      <c r="U183" s="147"/>
      <c r="V183" s="152"/>
      <c r="W183" s="147"/>
      <c r="X183" s="147"/>
      <c r="Y183" s="141"/>
      <c r="Z183" s="141"/>
      <c r="AA183" s="141"/>
      <c r="AB183" s="141"/>
      <c r="AC183" s="141"/>
      <c r="AD183" s="160"/>
      <c r="AE183" s="153"/>
      <c r="AF183" s="153"/>
      <c r="AG183" s="141"/>
      <c r="AH183" s="141"/>
      <c r="AI183" s="141"/>
      <c r="AJ183" s="141"/>
      <c r="AK183" s="147"/>
      <c r="AL183" s="147"/>
      <c r="AM183" s="141" t="str">
        <f t="shared" ca="1" si="8"/>
        <v>Desactualizado</v>
      </c>
      <c r="AN183" s="190">
        <f t="shared" si="9"/>
        <v>0</v>
      </c>
      <c r="AO183" s="193">
        <f t="shared" ca="1" si="10"/>
        <v>-1505.5666666666666</v>
      </c>
      <c r="AP183" s="195" t="str">
        <f t="shared" ca="1" si="11"/>
        <v>Vencida</v>
      </c>
    </row>
    <row r="184" spans="1:42" s="138" customFormat="1" ht="29.25" customHeight="1" x14ac:dyDescent="0.3">
      <c r="A184" s="147"/>
      <c r="B184" s="141"/>
      <c r="C184" s="141"/>
      <c r="D184" s="141"/>
      <c r="E184" s="141"/>
      <c r="F184" s="141"/>
      <c r="G184" s="141"/>
      <c r="H184" s="141"/>
      <c r="I184" s="148"/>
      <c r="J184" s="148"/>
      <c r="K184" s="148"/>
      <c r="L184" s="148"/>
      <c r="M184" s="148"/>
      <c r="N184" s="148"/>
      <c r="O184" s="141"/>
      <c r="P184" s="141"/>
      <c r="Q184" s="147"/>
      <c r="R184" s="147"/>
      <c r="S184" s="147"/>
      <c r="T184" s="147"/>
      <c r="U184" s="147"/>
      <c r="V184" s="152"/>
      <c r="W184" s="147"/>
      <c r="X184" s="147"/>
      <c r="Y184" s="141"/>
      <c r="Z184" s="141"/>
      <c r="AA184" s="141"/>
      <c r="AB184" s="141"/>
      <c r="AC184" s="141"/>
      <c r="AD184" s="160"/>
      <c r="AE184" s="153"/>
      <c r="AF184" s="153"/>
      <c r="AG184" s="141"/>
      <c r="AH184" s="141"/>
      <c r="AI184" s="141"/>
      <c r="AJ184" s="141"/>
      <c r="AK184" s="147"/>
      <c r="AL184" s="147"/>
      <c r="AM184" s="141" t="str">
        <f t="shared" ca="1" si="8"/>
        <v>Desactualizado</v>
      </c>
      <c r="AN184" s="190">
        <f t="shared" si="9"/>
        <v>0</v>
      </c>
      <c r="AO184" s="193">
        <f t="shared" ca="1" si="10"/>
        <v>-1505.5666666666666</v>
      </c>
      <c r="AP184" s="195" t="str">
        <f t="shared" ca="1" si="11"/>
        <v>Vencida</v>
      </c>
    </row>
    <row r="185" spans="1:42" s="138" customFormat="1" ht="29.25" customHeight="1" x14ac:dyDescent="0.3">
      <c r="A185" s="147"/>
      <c r="B185" s="141"/>
      <c r="C185" s="141"/>
      <c r="D185" s="141"/>
      <c r="E185" s="141"/>
      <c r="F185" s="141"/>
      <c r="G185" s="141"/>
      <c r="H185" s="141"/>
      <c r="I185" s="148"/>
      <c r="J185" s="148"/>
      <c r="K185" s="148"/>
      <c r="L185" s="148"/>
      <c r="M185" s="148"/>
      <c r="N185" s="148"/>
      <c r="O185" s="141"/>
      <c r="P185" s="141"/>
      <c r="Q185" s="147"/>
      <c r="R185" s="147"/>
      <c r="S185" s="147"/>
      <c r="T185" s="147"/>
      <c r="U185" s="147"/>
      <c r="V185" s="152"/>
      <c r="W185" s="147"/>
      <c r="X185" s="147"/>
      <c r="Y185" s="141"/>
      <c r="Z185" s="141"/>
      <c r="AA185" s="141"/>
      <c r="AB185" s="141"/>
      <c r="AC185" s="141"/>
      <c r="AD185" s="160"/>
      <c r="AE185" s="153"/>
      <c r="AF185" s="153"/>
      <c r="AG185" s="141"/>
      <c r="AH185" s="141"/>
      <c r="AI185" s="141"/>
      <c r="AJ185" s="141"/>
      <c r="AK185" s="147"/>
      <c r="AL185" s="147"/>
      <c r="AM185" s="141" t="str">
        <f t="shared" ca="1" si="8"/>
        <v>Desactualizado</v>
      </c>
      <c r="AN185" s="190">
        <f t="shared" si="9"/>
        <v>0</v>
      </c>
      <c r="AO185" s="193">
        <f t="shared" ca="1" si="10"/>
        <v>-1505.5666666666666</v>
      </c>
      <c r="AP185" s="195" t="str">
        <f t="shared" ca="1" si="11"/>
        <v>Vencida</v>
      </c>
    </row>
    <row r="186" spans="1:42" s="138" customFormat="1" ht="29.25" customHeight="1" x14ac:dyDescent="0.3">
      <c r="A186" s="147"/>
      <c r="B186" s="141"/>
      <c r="C186" s="141"/>
      <c r="D186" s="141"/>
      <c r="E186" s="141"/>
      <c r="F186" s="141"/>
      <c r="G186" s="141"/>
      <c r="H186" s="141"/>
      <c r="I186" s="148"/>
      <c r="J186" s="148"/>
      <c r="K186" s="148"/>
      <c r="L186" s="148"/>
      <c r="M186" s="148"/>
      <c r="N186" s="148"/>
      <c r="O186" s="141"/>
      <c r="P186" s="141"/>
      <c r="Q186" s="147"/>
      <c r="R186" s="147"/>
      <c r="S186" s="147"/>
      <c r="T186" s="147"/>
      <c r="U186" s="147"/>
      <c r="V186" s="152"/>
      <c r="W186" s="147"/>
      <c r="X186" s="147"/>
      <c r="Y186" s="141"/>
      <c r="Z186" s="141"/>
      <c r="AA186" s="141"/>
      <c r="AB186" s="141"/>
      <c r="AC186" s="141"/>
      <c r="AD186" s="160"/>
      <c r="AE186" s="153"/>
      <c r="AF186" s="153"/>
      <c r="AG186" s="141"/>
      <c r="AH186" s="141"/>
      <c r="AI186" s="141"/>
      <c r="AJ186" s="141"/>
      <c r="AK186" s="147"/>
      <c r="AL186" s="147"/>
      <c r="AM186" s="141" t="str">
        <f t="shared" ca="1" si="8"/>
        <v>Desactualizado</v>
      </c>
      <c r="AN186" s="190">
        <f t="shared" si="9"/>
        <v>0</v>
      </c>
      <c r="AO186" s="193">
        <f t="shared" ca="1" si="10"/>
        <v>-1505.5666666666666</v>
      </c>
      <c r="AP186" s="195" t="str">
        <f t="shared" ca="1" si="11"/>
        <v>Vencida</v>
      </c>
    </row>
    <row r="187" spans="1:42" s="138" customFormat="1" ht="29.25" customHeight="1" x14ac:dyDescent="0.3">
      <c r="A187" s="147"/>
      <c r="B187" s="141"/>
      <c r="C187" s="141"/>
      <c r="D187" s="141"/>
      <c r="E187" s="141"/>
      <c r="F187" s="141"/>
      <c r="G187" s="141"/>
      <c r="H187" s="141"/>
      <c r="I187" s="148"/>
      <c r="J187" s="148"/>
      <c r="K187" s="148"/>
      <c r="L187" s="148"/>
      <c r="M187" s="148"/>
      <c r="N187" s="148"/>
      <c r="O187" s="141"/>
      <c r="P187" s="141"/>
      <c r="Q187" s="147"/>
      <c r="R187" s="147"/>
      <c r="S187" s="147"/>
      <c r="T187" s="147"/>
      <c r="U187" s="147"/>
      <c r="V187" s="152"/>
      <c r="W187" s="147"/>
      <c r="X187" s="147"/>
      <c r="Y187" s="141"/>
      <c r="Z187" s="141"/>
      <c r="AA187" s="141"/>
      <c r="AB187" s="141"/>
      <c r="AC187" s="141"/>
      <c r="AD187" s="160"/>
      <c r="AE187" s="153"/>
      <c r="AF187" s="153"/>
      <c r="AG187" s="141"/>
      <c r="AH187" s="141"/>
      <c r="AI187" s="141"/>
      <c r="AJ187" s="141"/>
      <c r="AK187" s="147"/>
      <c r="AL187" s="147"/>
      <c r="AM187" s="141" t="str">
        <f t="shared" ca="1" si="8"/>
        <v>Desactualizado</v>
      </c>
      <c r="AN187" s="190">
        <f t="shared" si="9"/>
        <v>0</v>
      </c>
      <c r="AO187" s="193">
        <f t="shared" ca="1" si="10"/>
        <v>-1505.5666666666666</v>
      </c>
      <c r="AP187" s="195" t="str">
        <f t="shared" ca="1" si="11"/>
        <v>Vencida</v>
      </c>
    </row>
    <row r="188" spans="1:42" s="138" customFormat="1" ht="29.25" customHeight="1" x14ac:dyDescent="0.3">
      <c r="A188" s="147"/>
      <c r="B188" s="141"/>
      <c r="C188" s="141"/>
      <c r="D188" s="141"/>
      <c r="E188" s="141"/>
      <c r="F188" s="141"/>
      <c r="G188" s="141"/>
      <c r="H188" s="141"/>
      <c r="I188" s="162"/>
      <c r="J188" s="162"/>
      <c r="K188" s="148"/>
      <c r="L188" s="162"/>
      <c r="M188" s="162"/>
      <c r="N188" s="162"/>
      <c r="O188" s="141"/>
      <c r="P188" s="141"/>
      <c r="Q188" s="147"/>
      <c r="R188" s="147"/>
      <c r="S188" s="147"/>
      <c r="T188" s="147"/>
      <c r="U188" s="147"/>
      <c r="V188" s="152"/>
      <c r="W188" s="147"/>
      <c r="X188" s="147"/>
      <c r="Y188" s="141"/>
      <c r="Z188" s="141"/>
      <c r="AA188" s="141"/>
      <c r="AB188" s="141"/>
      <c r="AC188" s="141"/>
      <c r="AD188" s="160"/>
      <c r="AE188" s="153"/>
      <c r="AF188" s="153"/>
      <c r="AG188" s="141"/>
      <c r="AH188" s="141"/>
      <c r="AI188" s="141"/>
      <c r="AJ188" s="141"/>
      <c r="AK188" s="147"/>
      <c r="AL188" s="147"/>
      <c r="AM188" s="141" t="str">
        <f t="shared" ca="1" si="8"/>
        <v>Desactualizado</v>
      </c>
      <c r="AN188" s="190">
        <f t="shared" si="9"/>
        <v>0</v>
      </c>
      <c r="AO188" s="193">
        <f t="shared" ca="1" si="10"/>
        <v>-1505.5666666666666</v>
      </c>
      <c r="AP188" s="195" t="str">
        <f t="shared" ca="1" si="11"/>
        <v>Vencida</v>
      </c>
    </row>
    <row r="189" spans="1:42" s="138" customFormat="1" ht="29.25" customHeight="1" x14ac:dyDescent="0.3">
      <c r="A189" s="147"/>
      <c r="B189" s="141"/>
      <c r="C189" s="141"/>
      <c r="D189" s="141"/>
      <c r="E189" s="141"/>
      <c r="F189" s="141"/>
      <c r="G189" s="141"/>
      <c r="H189" s="141"/>
      <c r="I189" s="162"/>
      <c r="J189" s="162"/>
      <c r="K189" s="148"/>
      <c r="L189" s="162"/>
      <c r="M189" s="162"/>
      <c r="N189" s="162"/>
      <c r="O189" s="141"/>
      <c r="P189" s="141"/>
      <c r="Q189" s="147"/>
      <c r="R189" s="147"/>
      <c r="S189" s="147"/>
      <c r="T189" s="147"/>
      <c r="U189" s="147"/>
      <c r="V189" s="152"/>
      <c r="W189" s="147"/>
      <c r="X189" s="147"/>
      <c r="Y189" s="141"/>
      <c r="Z189" s="141"/>
      <c r="AA189" s="141"/>
      <c r="AB189" s="141"/>
      <c r="AC189" s="141"/>
      <c r="AD189" s="160"/>
      <c r="AE189" s="153"/>
      <c r="AF189" s="153"/>
      <c r="AG189" s="141"/>
      <c r="AH189" s="141"/>
      <c r="AI189" s="141"/>
      <c r="AJ189" s="141"/>
      <c r="AK189" s="147"/>
      <c r="AL189" s="147"/>
      <c r="AM189" s="141" t="str">
        <f t="shared" ca="1" si="8"/>
        <v>Desactualizado</v>
      </c>
      <c r="AN189" s="190">
        <f t="shared" si="9"/>
        <v>0</v>
      </c>
      <c r="AO189" s="193">
        <f t="shared" ca="1" si="10"/>
        <v>-1505.5666666666666</v>
      </c>
      <c r="AP189" s="195" t="str">
        <f t="shared" ca="1" si="11"/>
        <v>Vencida</v>
      </c>
    </row>
    <row r="190" spans="1:42" s="138" customFormat="1" ht="29.25" customHeight="1" x14ac:dyDescent="0.3">
      <c r="A190" s="147"/>
      <c r="B190" s="141"/>
      <c r="C190" s="141"/>
      <c r="D190" s="141"/>
      <c r="E190" s="141"/>
      <c r="F190" s="141"/>
      <c r="G190" s="141"/>
      <c r="H190" s="141"/>
      <c r="I190" s="162"/>
      <c r="J190" s="162"/>
      <c r="K190" s="148"/>
      <c r="L190" s="162"/>
      <c r="M190" s="162"/>
      <c r="N190" s="162"/>
      <c r="O190" s="141"/>
      <c r="P190" s="141"/>
      <c r="Q190" s="147"/>
      <c r="R190" s="147"/>
      <c r="S190" s="147"/>
      <c r="T190" s="147"/>
      <c r="U190" s="147"/>
      <c r="V190" s="152"/>
      <c r="W190" s="147"/>
      <c r="X190" s="147"/>
      <c r="Y190" s="141"/>
      <c r="Z190" s="141"/>
      <c r="AA190" s="141"/>
      <c r="AB190" s="141"/>
      <c r="AC190" s="141"/>
      <c r="AD190" s="160"/>
      <c r="AE190" s="153"/>
      <c r="AF190" s="153"/>
      <c r="AG190" s="141"/>
      <c r="AH190" s="141"/>
      <c r="AI190" s="141"/>
      <c r="AJ190" s="141"/>
      <c r="AK190" s="147"/>
      <c r="AL190" s="147"/>
      <c r="AM190" s="141" t="str">
        <f t="shared" ca="1" si="8"/>
        <v>Desactualizado</v>
      </c>
      <c r="AN190" s="190">
        <f t="shared" si="9"/>
        <v>0</v>
      </c>
      <c r="AO190" s="193">
        <f t="shared" ca="1" si="10"/>
        <v>-1505.5666666666666</v>
      </c>
      <c r="AP190" s="195" t="str">
        <f t="shared" ca="1" si="11"/>
        <v>Vencida</v>
      </c>
    </row>
    <row r="191" spans="1:42" s="138" customFormat="1" ht="29.25" customHeight="1" x14ac:dyDescent="0.3">
      <c r="A191" s="147"/>
      <c r="B191" s="141"/>
      <c r="C191" s="141"/>
      <c r="D191" s="141"/>
      <c r="E191" s="141"/>
      <c r="F191" s="141"/>
      <c r="G191" s="141"/>
      <c r="H191" s="141"/>
      <c r="I191" s="148"/>
      <c r="J191" s="148"/>
      <c r="K191" s="148"/>
      <c r="L191" s="148"/>
      <c r="M191" s="148"/>
      <c r="N191" s="148"/>
      <c r="O191" s="141"/>
      <c r="P191" s="141"/>
      <c r="Q191" s="147"/>
      <c r="R191" s="147"/>
      <c r="S191" s="147"/>
      <c r="T191" s="147"/>
      <c r="U191" s="147"/>
      <c r="V191" s="152"/>
      <c r="W191" s="147"/>
      <c r="X191" s="147"/>
      <c r="Y191" s="141"/>
      <c r="Z191" s="141"/>
      <c r="AA191" s="141"/>
      <c r="AB191" s="141"/>
      <c r="AC191" s="141"/>
      <c r="AD191" s="160"/>
      <c r="AE191" s="153"/>
      <c r="AF191" s="153"/>
      <c r="AG191" s="141"/>
      <c r="AH191" s="141"/>
      <c r="AI191" s="141"/>
      <c r="AJ191" s="141"/>
      <c r="AK191" s="147"/>
      <c r="AL191" s="147"/>
      <c r="AM191" s="141" t="str">
        <f t="shared" ca="1" si="8"/>
        <v>Desactualizado</v>
      </c>
      <c r="AN191" s="190">
        <f t="shared" si="9"/>
        <v>0</v>
      </c>
      <c r="AO191" s="193">
        <f t="shared" ca="1" si="10"/>
        <v>-1505.5666666666666</v>
      </c>
      <c r="AP191" s="195" t="str">
        <f t="shared" ca="1" si="11"/>
        <v>Vencida</v>
      </c>
    </row>
    <row r="192" spans="1:42" s="138" customFormat="1" ht="29.25" customHeight="1" x14ac:dyDescent="0.3">
      <c r="A192" s="147"/>
      <c r="B192" s="141"/>
      <c r="C192" s="141"/>
      <c r="D192" s="141"/>
      <c r="E192" s="141"/>
      <c r="F192" s="141"/>
      <c r="G192" s="141"/>
      <c r="H192" s="141"/>
      <c r="I192" s="148"/>
      <c r="J192" s="148"/>
      <c r="K192" s="148"/>
      <c r="L192" s="148"/>
      <c r="M192" s="148"/>
      <c r="N192" s="148"/>
      <c r="O192" s="141"/>
      <c r="P192" s="141"/>
      <c r="Q192" s="147"/>
      <c r="R192" s="147"/>
      <c r="S192" s="147"/>
      <c r="T192" s="147"/>
      <c r="U192" s="147"/>
      <c r="V192" s="152"/>
      <c r="W192" s="147"/>
      <c r="X192" s="147"/>
      <c r="Y192" s="141"/>
      <c r="Z192" s="141"/>
      <c r="AA192" s="141"/>
      <c r="AB192" s="141"/>
      <c r="AC192" s="141"/>
      <c r="AD192" s="160"/>
      <c r="AE192" s="153"/>
      <c r="AF192" s="153"/>
      <c r="AG192" s="141"/>
      <c r="AH192" s="141"/>
      <c r="AI192" s="141"/>
      <c r="AJ192" s="141"/>
      <c r="AK192" s="147"/>
      <c r="AL192" s="141"/>
      <c r="AM192" s="141" t="str">
        <f t="shared" ca="1" si="8"/>
        <v>Desactualizado</v>
      </c>
      <c r="AN192" s="190">
        <f t="shared" si="9"/>
        <v>0</v>
      </c>
      <c r="AO192" s="193">
        <f t="shared" ca="1" si="10"/>
        <v>-1505.5666666666666</v>
      </c>
      <c r="AP192" s="195" t="str">
        <f t="shared" ca="1" si="11"/>
        <v>Vencida</v>
      </c>
    </row>
    <row r="193" spans="1:42" s="138" customFormat="1" ht="20.25" x14ac:dyDescent="0.3">
      <c r="A193" s="147"/>
      <c r="B193" s="148"/>
      <c r="C193" s="148"/>
      <c r="D193" s="148"/>
      <c r="E193" s="141"/>
      <c r="F193" s="141"/>
      <c r="G193" s="141"/>
      <c r="H193" s="141"/>
      <c r="I193" s="148"/>
      <c r="J193" s="148"/>
      <c r="K193" s="148"/>
      <c r="L193" s="148"/>
      <c r="M193" s="148"/>
      <c r="N193" s="148"/>
      <c r="O193" s="141"/>
      <c r="P193" s="141"/>
      <c r="Q193" s="147"/>
      <c r="R193" s="147"/>
      <c r="S193" s="147"/>
      <c r="T193" s="147"/>
      <c r="U193" s="147"/>
      <c r="V193" s="152"/>
      <c r="W193" s="147"/>
      <c r="X193" s="147"/>
      <c r="Y193" s="141"/>
      <c r="Z193" s="141"/>
      <c r="AA193" s="141"/>
      <c r="AB193" s="141"/>
      <c r="AC193" s="141"/>
      <c r="AD193" s="160"/>
      <c r="AE193" s="153"/>
      <c r="AF193" s="153"/>
      <c r="AG193" s="141"/>
      <c r="AH193" s="141"/>
      <c r="AI193" s="141"/>
      <c r="AJ193" s="141"/>
      <c r="AK193" s="147"/>
      <c r="AL193" s="147"/>
      <c r="AM193" s="141" t="str">
        <f t="shared" ca="1" si="8"/>
        <v>Desactualizado</v>
      </c>
      <c r="AN193" s="190">
        <f t="shared" si="9"/>
        <v>0</v>
      </c>
      <c r="AO193" s="193">
        <f t="shared" ca="1" si="10"/>
        <v>-1505.5666666666666</v>
      </c>
      <c r="AP193" s="195" t="str">
        <f t="shared" ca="1" si="11"/>
        <v>Vencida</v>
      </c>
    </row>
    <row r="194" spans="1:42" s="138" customFormat="1" ht="29.25" customHeight="1" x14ac:dyDescent="0.3">
      <c r="A194" s="147"/>
      <c r="B194" s="141"/>
      <c r="C194" s="141"/>
      <c r="D194" s="141"/>
      <c r="E194" s="141"/>
      <c r="F194" s="141"/>
      <c r="G194" s="141"/>
      <c r="H194" s="141"/>
      <c r="I194" s="148"/>
      <c r="J194" s="148"/>
      <c r="K194" s="148"/>
      <c r="L194" s="148"/>
      <c r="M194" s="148"/>
      <c r="N194" s="148"/>
      <c r="O194" s="141"/>
      <c r="P194" s="141"/>
      <c r="Q194" s="147"/>
      <c r="R194" s="147"/>
      <c r="S194" s="147"/>
      <c r="T194" s="147"/>
      <c r="U194" s="147"/>
      <c r="V194" s="152"/>
      <c r="W194" s="147"/>
      <c r="X194" s="147"/>
      <c r="Y194" s="141"/>
      <c r="Z194" s="141"/>
      <c r="AA194" s="141"/>
      <c r="AB194" s="141"/>
      <c r="AC194" s="141"/>
      <c r="AD194" s="160"/>
      <c r="AE194" s="153"/>
      <c r="AF194" s="153"/>
      <c r="AG194" s="141"/>
      <c r="AH194" s="141"/>
      <c r="AI194" s="141"/>
      <c r="AJ194" s="141"/>
      <c r="AK194" s="147"/>
      <c r="AL194" s="147"/>
      <c r="AM194" s="141" t="str">
        <f t="shared" ca="1" si="8"/>
        <v>Desactualizado</v>
      </c>
      <c r="AN194" s="190">
        <f t="shared" si="9"/>
        <v>0</v>
      </c>
      <c r="AO194" s="193">
        <f t="shared" ca="1" si="10"/>
        <v>-1505.5666666666666</v>
      </c>
      <c r="AP194" s="195" t="str">
        <f t="shared" ca="1" si="11"/>
        <v>Vencida</v>
      </c>
    </row>
    <row r="195" spans="1:42" s="138" customFormat="1" ht="29.25" customHeight="1" x14ac:dyDescent="0.3">
      <c r="A195" s="147"/>
      <c r="B195" s="148"/>
      <c r="C195" s="148"/>
      <c r="D195" s="148"/>
      <c r="E195" s="141"/>
      <c r="F195" s="141"/>
      <c r="G195" s="141"/>
      <c r="H195" s="141"/>
      <c r="I195" s="162"/>
      <c r="J195" s="162"/>
      <c r="K195" s="148"/>
      <c r="L195" s="162"/>
      <c r="M195" s="162"/>
      <c r="N195" s="162"/>
      <c r="O195" s="141"/>
      <c r="P195" s="141"/>
      <c r="Q195" s="147"/>
      <c r="R195" s="147"/>
      <c r="S195" s="147"/>
      <c r="T195" s="147"/>
      <c r="U195" s="147"/>
      <c r="V195" s="152"/>
      <c r="W195" s="147"/>
      <c r="X195" s="147"/>
      <c r="Y195" s="141"/>
      <c r="Z195" s="141"/>
      <c r="AA195" s="141"/>
      <c r="AB195" s="141"/>
      <c r="AC195" s="141"/>
      <c r="AD195" s="160"/>
      <c r="AE195" s="153"/>
      <c r="AF195" s="153"/>
      <c r="AG195" s="141"/>
      <c r="AH195" s="141"/>
      <c r="AI195" s="141"/>
      <c r="AJ195" s="141"/>
      <c r="AK195" s="147"/>
      <c r="AL195" s="147"/>
      <c r="AM195" s="141" t="str">
        <f t="shared" ca="1" si="8"/>
        <v>Desactualizado</v>
      </c>
      <c r="AN195" s="190">
        <f t="shared" si="9"/>
        <v>0</v>
      </c>
      <c r="AO195" s="193">
        <f t="shared" ca="1" si="10"/>
        <v>-1505.5666666666666</v>
      </c>
      <c r="AP195" s="195" t="str">
        <f t="shared" ca="1" si="11"/>
        <v>Vencida</v>
      </c>
    </row>
    <row r="196" spans="1:42" s="138" customFormat="1" ht="29.25" customHeight="1" x14ac:dyDescent="0.3">
      <c r="A196" s="147"/>
      <c r="B196" s="141"/>
      <c r="C196" s="141"/>
      <c r="D196" s="141"/>
      <c r="E196" s="141"/>
      <c r="F196" s="141"/>
      <c r="G196" s="141"/>
      <c r="H196" s="141"/>
      <c r="I196" s="148"/>
      <c r="J196" s="148"/>
      <c r="K196" s="148"/>
      <c r="L196" s="148"/>
      <c r="M196" s="148"/>
      <c r="N196" s="148"/>
      <c r="O196" s="141"/>
      <c r="P196" s="141"/>
      <c r="Q196" s="147"/>
      <c r="R196" s="147"/>
      <c r="S196" s="147"/>
      <c r="T196" s="147"/>
      <c r="U196" s="147"/>
      <c r="V196" s="152"/>
      <c r="W196" s="147"/>
      <c r="X196" s="147"/>
      <c r="Y196" s="141"/>
      <c r="Z196" s="141"/>
      <c r="AA196" s="141"/>
      <c r="AB196" s="141"/>
      <c r="AC196" s="141"/>
      <c r="AD196" s="160"/>
      <c r="AE196" s="153"/>
      <c r="AF196" s="153"/>
      <c r="AG196" s="141"/>
      <c r="AH196" s="141"/>
      <c r="AI196" s="141"/>
      <c r="AJ196" s="141"/>
      <c r="AK196" s="147"/>
      <c r="AL196" s="147"/>
      <c r="AM196" s="141" t="str">
        <f t="shared" ca="1" si="8"/>
        <v>Desactualizado</v>
      </c>
      <c r="AN196" s="190">
        <f t="shared" si="9"/>
        <v>0</v>
      </c>
      <c r="AO196" s="193">
        <f t="shared" ca="1" si="10"/>
        <v>-1505.5666666666666</v>
      </c>
      <c r="AP196" s="195" t="str">
        <f t="shared" ca="1" si="11"/>
        <v>Vencida</v>
      </c>
    </row>
    <row r="197" spans="1:42" s="138" customFormat="1" ht="29.25" customHeight="1" x14ac:dyDescent="0.3">
      <c r="A197" s="147"/>
      <c r="B197" s="141"/>
      <c r="C197" s="141"/>
      <c r="D197" s="141"/>
      <c r="E197" s="141"/>
      <c r="F197" s="141"/>
      <c r="G197" s="141"/>
      <c r="H197" s="141"/>
      <c r="I197" s="148"/>
      <c r="J197" s="148"/>
      <c r="K197" s="148"/>
      <c r="L197" s="148"/>
      <c r="M197" s="148"/>
      <c r="N197" s="148"/>
      <c r="O197" s="141"/>
      <c r="P197" s="141"/>
      <c r="Q197" s="147"/>
      <c r="R197" s="147"/>
      <c r="S197" s="147"/>
      <c r="T197" s="147"/>
      <c r="U197" s="147"/>
      <c r="V197" s="152"/>
      <c r="W197" s="147"/>
      <c r="X197" s="147"/>
      <c r="Y197" s="141"/>
      <c r="Z197" s="141"/>
      <c r="AA197" s="141"/>
      <c r="AB197" s="141"/>
      <c r="AC197" s="141"/>
      <c r="AD197" s="160"/>
      <c r="AE197" s="153"/>
      <c r="AF197" s="153"/>
      <c r="AG197" s="141"/>
      <c r="AH197" s="141"/>
      <c r="AI197" s="141"/>
      <c r="AJ197" s="141"/>
      <c r="AK197" s="147"/>
      <c r="AL197" s="147"/>
      <c r="AM197" s="141" t="str">
        <f t="shared" ca="1" si="8"/>
        <v>Desactualizado</v>
      </c>
      <c r="AN197" s="190">
        <f t="shared" si="9"/>
        <v>0</v>
      </c>
      <c r="AO197" s="193">
        <f t="shared" ca="1" si="10"/>
        <v>-1505.5666666666666</v>
      </c>
      <c r="AP197" s="195" t="str">
        <f t="shared" ca="1" si="11"/>
        <v>Vencida</v>
      </c>
    </row>
    <row r="198" spans="1:42" s="138" customFormat="1" ht="29.25" customHeight="1" x14ac:dyDescent="0.3">
      <c r="A198" s="147"/>
      <c r="B198" s="141"/>
      <c r="C198" s="141"/>
      <c r="D198" s="141"/>
      <c r="E198" s="141"/>
      <c r="F198" s="141"/>
      <c r="G198" s="141"/>
      <c r="H198" s="141"/>
      <c r="I198" s="148"/>
      <c r="J198" s="148"/>
      <c r="K198" s="148"/>
      <c r="L198" s="148"/>
      <c r="M198" s="148"/>
      <c r="N198" s="148"/>
      <c r="O198" s="141"/>
      <c r="P198" s="141"/>
      <c r="Q198" s="147"/>
      <c r="R198" s="147"/>
      <c r="S198" s="147"/>
      <c r="T198" s="147"/>
      <c r="U198" s="147"/>
      <c r="V198" s="152"/>
      <c r="W198" s="147"/>
      <c r="X198" s="147"/>
      <c r="Y198" s="141"/>
      <c r="Z198" s="141"/>
      <c r="AA198" s="141"/>
      <c r="AB198" s="141"/>
      <c r="AC198" s="141"/>
      <c r="AD198" s="160"/>
      <c r="AE198" s="153"/>
      <c r="AF198" s="153"/>
      <c r="AG198" s="141"/>
      <c r="AH198" s="141"/>
      <c r="AI198" s="141"/>
      <c r="AJ198" s="141"/>
      <c r="AK198" s="147"/>
      <c r="AL198" s="147"/>
      <c r="AM198" s="141" t="str">
        <f t="shared" ca="1" si="8"/>
        <v>Desactualizado</v>
      </c>
      <c r="AN198" s="190">
        <f t="shared" si="9"/>
        <v>0</v>
      </c>
      <c r="AO198" s="193">
        <f t="shared" ca="1" si="10"/>
        <v>-1505.5666666666666</v>
      </c>
      <c r="AP198" s="195" t="str">
        <f t="shared" ca="1" si="11"/>
        <v>Vencida</v>
      </c>
    </row>
    <row r="199" spans="1:42" s="138" customFormat="1" ht="29.25" customHeight="1" x14ac:dyDescent="0.3">
      <c r="A199" s="147"/>
      <c r="B199" s="148"/>
      <c r="C199" s="148"/>
      <c r="D199" s="148"/>
      <c r="E199" s="141"/>
      <c r="F199" s="141"/>
      <c r="G199" s="141"/>
      <c r="H199" s="141"/>
      <c r="I199" s="162"/>
      <c r="J199" s="162"/>
      <c r="K199" s="148"/>
      <c r="L199" s="162"/>
      <c r="M199" s="162"/>
      <c r="N199" s="162"/>
      <c r="O199" s="141"/>
      <c r="P199" s="141"/>
      <c r="Q199" s="147"/>
      <c r="R199" s="147"/>
      <c r="S199" s="147"/>
      <c r="T199" s="147"/>
      <c r="U199" s="147"/>
      <c r="V199" s="152"/>
      <c r="W199" s="147"/>
      <c r="X199" s="147"/>
      <c r="Y199" s="141"/>
      <c r="Z199" s="141"/>
      <c r="AA199" s="141"/>
      <c r="AB199" s="141"/>
      <c r="AC199" s="141"/>
      <c r="AD199" s="160"/>
      <c r="AE199" s="153"/>
      <c r="AF199" s="153"/>
      <c r="AG199" s="141"/>
      <c r="AH199" s="141"/>
      <c r="AI199" s="141"/>
      <c r="AJ199" s="141"/>
      <c r="AK199" s="147"/>
      <c r="AL199" s="147"/>
      <c r="AM199" s="141" t="str">
        <f t="shared" ca="1" si="8"/>
        <v>Desactualizado</v>
      </c>
      <c r="AN199" s="190">
        <f t="shared" si="9"/>
        <v>0</v>
      </c>
      <c r="AO199" s="193">
        <f t="shared" ca="1" si="10"/>
        <v>-1505.5666666666666</v>
      </c>
      <c r="AP199" s="195" t="str">
        <f t="shared" ca="1" si="11"/>
        <v>Vencida</v>
      </c>
    </row>
    <row r="200" spans="1:42" s="138" customFormat="1" ht="29.25" customHeight="1" x14ac:dyDescent="0.3">
      <c r="A200" s="147"/>
      <c r="B200" s="141"/>
      <c r="C200" s="141"/>
      <c r="D200" s="141"/>
      <c r="E200" s="141"/>
      <c r="F200" s="141"/>
      <c r="G200" s="141"/>
      <c r="H200" s="141"/>
      <c r="I200" s="148"/>
      <c r="J200" s="148"/>
      <c r="K200" s="148"/>
      <c r="L200" s="148"/>
      <c r="M200" s="148"/>
      <c r="N200" s="148"/>
      <c r="O200" s="141"/>
      <c r="P200" s="141"/>
      <c r="Q200" s="147"/>
      <c r="R200" s="147"/>
      <c r="S200" s="147"/>
      <c r="T200" s="147"/>
      <c r="U200" s="147"/>
      <c r="V200" s="152"/>
      <c r="W200" s="147"/>
      <c r="X200" s="147"/>
      <c r="Y200" s="141"/>
      <c r="Z200" s="141"/>
      <c r="AA200" s="141"/>
      <c r="AB200" s="141"/>
      <c r="AC200" s="141"/>
      <c r="AD200" s="160"/>
      <c r="AE200" s="153"/>
      <c r="AF200" s="153"/>
      <c r="AG200" s="141"/>
      <c r="AH200" s="141"/>
      <c r="AI200" s="141"/>
      <c r="AJ200" s="141"/>
      <c r="AK200" s="147"/>
      <c r="AL200" s="147"/>
      <c r="AM200" s="141" t="str">
        <f t="shared" ref="AM200:AM263" ca="1" si="12">IF(((TODAY()-AL200)/365)&lt;=5,"Actualizado","Desactualizado")</f>
        <v>Desactualizado</v>
      </c>
      <c r="AN200" s="190">
        <f t="shared" si="9"/>
        <v>0</v>
      </c>
      <c r="AO200" s="193">
        <f t="shared" ca="1" si="10"/>
        <v>-1505.5666666666666</v>
      </c>
      <c r="AP200" s="195" t="str">
        <f t="shared" ca="1" si="11"/>
        <v>Vencida</v>
      </c>
    </row>
    <row r="201" spans="1:42" s="138" customFormat="1" ht="29.25" customHeight="1" x14ac:dyDescent="0.3">
      <c r="A201" s="147"/>
      <c r="B201" s="141"/>
      <c r="C201" s="141"/>
      <c r="D201" s="141"/>
      <c r="E201" s="141"/>
      <c r="F201" s="141"/>
      <c r="G201" s="141"/>
      <c r="H201" s="141"/>
      <c r="I201" s="148"/>
      <c r="J201" s="148"/>
      <c r="K201" s="148"/>
      <c r="L201" s="148"/>
      <c r="M201" s="148"/>
      <c r="N201" s="148"/>
      <c r="O201" s="141"/>
      <c r="P201" s="141"/>
      <c r="Q201" s="147"/>
      <c r="R201" s="147"/>
      <c r="S201" s="147"/>
      <c r="T201" s="147"/>
      <c r="U201" s="147"/>
      <c r="V201" s="152"/>
      <c r="W201" s="147"/>
      <c r="X201" s="147"/>
      <c r="Y201" s="141"/>
      <c r="Z201" s="141"/>
      <c r="AA201" s="141"/>
      <c r="AB201" s="141"/>
      <c r="AC201" s="141"/>
      <c r="AD201" s="160"/>
      <c r="AE201" s="153"/>
      <c r="AF201" s="153"/>
      <c r="AG201" s="141"/>
      <c r="AH201" s="141"/>
      <c r="AI201" s="141"/>
      <c r="AJ201" s="141"/>
      <c r="AK201" s="147"/>
      <c r="AL201" s="147"/>
      <c r="AM201" s="141" t="str">
        <f t="shared" ca="1" si="12"/>
        <v>Desactualizado</v>
      </c>
      <c r="AN201" s="190">
        <f t="shared" ref="AN201:AN264" si="13">+M201</f>
        <v>0</v>
      </c>
      <c r="AO201" s="193">
        <f t="shared" ref="AO201:AO264" ca="1" si="14">(AN201-TODAY())/30</f>
        <v>-1505.5666666666666</v>
      </c>
      <c r="AP201" s="195" t="str">
        <f t="shared" ca="1" si="11"/>
        <v>Vencida</v>
      </c>
    </row>
    <row r="202" spans="1:42" s="138" customFormat="1" ht="29.25" customHeight="1" x14ac:dyDescent="0.3">
      <c r="A202" s="147"/>
      <c r="B202" s="141"/>
      <c r="C202" s="141"/>
      <c r="D202" s="141"/>
      <c r="E202" s="141"/>
      <c r="F202" s="141"/>
      <c r="G202" s="141"/>
      <c r="H202" s="141"/>
      <c r="I202" s="148"/>
      <c r="J202" s="148"/>
      <c r="K202" s="148"/>
      <c r="L202" s="148"/>
      <c r="M202" s="148"/>
      <c r="N202" s="148"/>
      <c r="O202" s="141"/>
      <c r="P202" s="141"/>
      <c r="Q202" s="147"/>
      <c r="R202" s="147"/>
      <c r="S202" s="147"/>
      <c r="T202" s="147"/>
      <c r="U202" s="147"/>
      <c r="V202" s="152"/>
      <c r="W202" s="147"/>
      <c r="X202" s="147"/>
      <c r="Y202" s="141"/>
      <c r="Z202" s="141"/>
      <c r="AA202" s="141"/>
      <c r="AB202" s="141"/>
      <c r="AC202" s="141"/>
      <c r="AD202" s="160"/>
      <c r="AE202" s="153"/>
      <c r="AF202" s="153"/>
      <c r="AG202" s="141"/>
      <c r="AH202" s="141"/>
      <c r="AI202" s="141"/>
      <c r="AJ202" s="141"/>
      <c r="AK202" s="147"/>
      <c r="AL202" s="147"/>
      <c r="AM202" s="141" t="str">
        <f t="shared" ca="1" si="12"/>
        <v>Desactualizado</v>
      </c>
      <c r="AN202" s="190">
        <f t="shared" si="13"/>
        <v>0</v>
      </c>
      <c r="AO202" s="193">
        <f t="shared" ca="1" si="14"/>
        <v>-1505.5666666666666</v>
      </c>
      <c r="AP202" s="195" t="str">
        <f t="shared" ref="AP202:AP265" ca="1" si="15">IF(AO202&gt;6,"Vigente",IF(AND(AO202&gt;=3,AO202&lt;=6),"Pendiente por vencer",IF(AND(AO202&gt;=1,AO202&lt;=3),"Proxima a vencer","Vencida")))</f>
        <v>Vencida</v>
      </c>
    </row>
    <row r="203" spans="1:42" s="138" customFormat="1" ht="29.25" customHeight="1" x14ac:dyDescent="0.3">
      <c r="A203" s="147"/>
      <c r="B203" s="141"/>
      <c r="C203" s="141"/>
      <c r="D203" s="141"/>
      <c r="E203" s="141"/>
      <c r="F203" s="141"/>
      <c r="G203" s="141"/>
      <c r="H203" s="141"/>
      <c r="I203" s="148"/>
      <c r="J203" s="148"/>
      <c r="K203" s="148"/>
      <c r="L203" s="148"/>
      <c r="M203" s="148"/>
      <c r="N203" s="148"/>
      <c r="O203" s="141"/>
      <c r="P203" s="141"/>
      <c r="Q203" s="147"/>
      <c r="R203" s="147"/>
      <c r="S203" s="147"/>
      <c r="T203" s="147"/>
      <c r="U203" s="147"/>
      <c r="V203" s="152"/>
      <c r="W203" s="147"/>
      <c r="X203" s="147"/>
      <c r="Y203" s="141"/>
      <c r="Z203" s="141"/>
      <c r="AA203" s="141"/>
      <c r="AB203" s="141"/>
      <c r="AC203" s="141"/>
      <c r="AD203" s="160"/>
      <c r="AE203" s="153"/>
      <c r="AF203" s="153"/>
      <c r="AG203" s="141"/>
      <c r="AH203" s="141"/>
      <c r="AI203" s="141"/>
      <c r="AJ203" s="141"/>
      <c r="AK203" s="147"/>
      <c r="AL203" s="147"/>
      <c r="AM203" s="141" t="str">
        <f t="shared" ca="1" si="12"/>
        <v>Desactualizado</v>
      </c>
      <c r="AN203" s="190">
        <f t="shared" si="13"/>
        <v>0</v>
      </c>
      <c r="AO203" s="193">
        <f t="shared" ca="1" si="14"/>
        <v>-1505.5666666666666</v>
      </c>
      <c r="AP203" s="195" t="str">
        <f t="shared" ca="1" si="15"/>
        <v>Vencida</v>
      </c>
    </row>
    <row r="204" spans="1:42" s="138" customFormat="1" ht="20.25" x14ac:dyDescent="0.3">
      <c r="A204" s="147"/>
      <c r="B204" s="141"/>
      <c r="C204" s="141"/>
      <c r="D204" s="141"/>
      <c r="E204" s="141"/>
      <c r="F204" s="141"/>
      <c r="G204" s="141"/>
      <c r="H204" s="141"/>
      <c r="I204" s="148"/>
      <c r="J204" s="148"/>
      <c r="K204" s="148"/>
      <c r="L204" s="148"/>
      <c r="M204" s="148"/>
      <c r="N204" s="148"/>
      <c r="O204" s="141"/>
      <c r="P204" s="141"/>
      <c r="Q204" s="147"/>
      <c r="R204" s="147"/>
      <c r="S204" s="147"/>
      <c r="T204" s="147"/>
      <c r="U204" s="147"/>
      <c r="V204" s="152"/>
      <c r="W204" s="147"/>
      <c r="X204" s="147"/>
      <c r="Y204" s="141"/>
      <c r="Z204" s="141"/>
      <c r="AA204" s="141"/>
      <c r="AB204" s="141"/>
      <c r="AC204" s="141"/>
      <c r="AD204" s="160"/>
      <c r="AE204" s="153"/>
      <c r="AF204" s="153"/>
      <c r="AG204" s="141"/>
      <c r="AH204" s="141"/>
      <c r="AI204" s="141"/>
      <c r="AJ204" s="141"/>
      <c r="AK204" s="147"/>
      <c r="AL204" s="147"/>
      <c r="AM204" s="141" t="str">
        <f t="shared" ca="1" si="12"/>
        <v>Desactualizado</v>
      </c>
      <c r="AN204" s="190">
        <f t="shared" si="13"/>
        <v>0</v>
      </c>
      <c r="AO204" s="193">
        <f t="shared" ca="1" si="14"/>
        <v>-1505.5666666666666</v>
      </c>
      <c r="AP204" s="195" t="str">
        <f t="shared" ca="1" si="15"/>
        <v>Vencida</v>
      </c>
    </row>
    <row r="205" spans="1:42" s="138" customFormat="1" ht="29.25" customHeight="1" x14ac:dyDescent="0.3">
      <c r="A205" s="147"/>
      <c r="B205" s="141"/>
      <c r="C205" s="141"/>
      <c r="D205" s="141"/>
      <c r="E205" s="141"/>
      <c r="F205" s="141"/>
      <c r="G205" s="141"/>
      <c r="H205" s="141"/>
      <c r="I205" s="162"/>
      <c r="J205" s="162"/>
      <c r="K205" s="148"/>
      <c r="L205" s="162"/>
      <c r="M205" s="162"/>
      <c r="N205" s="162"/>
      <c r="O205" s="141"/>
      <c r="P205" s="141"/>
      <c r="Q205" s="147"/>
      <c r="R205" s="147"/>
      <c r="S205" s="147"/>
      <c r="T205" s="147"/>
      <c r="U205" s="147"/>
      <c r="V205" s="152"/>
      <c r="W205" s="147"/>
      <c r="X205" s="147"/>
      <c r="Y205" s="141"/>
      <c r="Z205" s="141"/>
      <c r="AA205" s="141"/>
      <c r="AB205" s="141"/>
      <c r="AC205" s="141"/>
      <c r="AD205" s="160"/>
      <c r="AE205" s="153"/>
      <c r="AF205" s="153"/>
      <c r="AG205" s="141"/>
      <c r="AH205" s="141"/>
      <c r="AI205" s="141"/>
      <c r="AJ205" s="141"/>
      <c r="AK205" s="147"/>
      <c r="AL205" s="147"/>
      <c r="AM205" s="141" t="str">
        <f t="shared" ca="1" si="12"/>
        <v>Desactualizado</v>
      </c>
      <c r="AN205" s="190">
        <f t="shared" si="13"/>
        <v>0</v>
      </c>
      <c r="AO205" s="193">
        <f t="shared" ca="1" si="14"/>
        <v>-1505.5666666666666</v>
      </c>
      <c r="AP205" s="195" t="str">
        <f t="shared" ca="1" si="15"/>
        <v>Vencida</v>
      </c>
    </row>
    <row r="206" spans="1:42" s="138" customFormat="1" ht="29.25" customHeight="1" x14ac:dyDescent="0.3">
      <c r="A206" s="147"/>
      <c r="B206" s="141"/>
      <c r="C206" s="141"/>
      <c r="D206" s="141"/>
      <c r="E206" s="141"/>
      <c r="F206" s="141"/>
      <c r="G206" s="141"/>
      <c r="H206" s="141"/>
      <c r="I206" s="162"/>
      <c r="J206" s="162"/>
      <c r="K206" s="148"/>
      <c r="L206" s="162"/>
      <c r="M206" s="162"/>
      <c r="N206" s="162"/>
      <c r="O206" s="141"/>
      <c r="P206" s="141"/>
      <c r="Q206" s="147"/>
      <c r="R206" s="147"/>
      <c r="S206" s="147"/>
      <c r="T206" s="147"/>
      <c r="U206" s="147"/>
      <c r="V206" s="152"/>
      <c r="W206" s="147"/>
      <c r="X206" s="147"/>
      <c r="Y206" s="141"/>
      <c r="Z206" s="141"/>
      <c r="AA206" s="141"/>
      <c r="AB206" s="141"/>
      <c r="AC206" s="141"/>
      <c r="AD206" s="160"/>
      <c r="AE206" s="153"/>
      <c r="AF206" s="153"/>
      <c r="AG206" s="141"/>
      <c r="AH206" s="141"/>
      <c r="AI206" s="141"/>
      <c r="AJ206" s="141"/>
      <c r="AK206" s="147"/>
      <c r="AL206" s="147"/>
      <c r="AM206" s="141" t="str">
        <f t="shared" ca="1" si="12"/>
        <v>Desactualizado</v>
      </c>
      <c r="AN206" s="190">
        <f t="shared" si="13"/>
        <v>0</v>
      </c>
      <c r="AO206" s="193">
        <f t="shared" ca="1" si="14"/>
        <v>-1505.5666666666666</v>
      </c>
      <c r="AP206" s="195" t="str">
        <f t="shared" ca="1" si="15"/>
        <v>Vencida</v>
      </c>
    </row>
    <row r="207" spans="1:42" s="138" customFormat="1" ht="29.25" customHeight="1" x14ac:dyDescent="0.3">
      <c r="A207" s="147"/>
      <c r="B207" s="141"/>
      <c r="C207" s="141"/>
      <c r="D207" s="141"/>
      <c r="E207" s="141"/>
      <c r="F207" s="141"/>
      <c r="G207" s="141"/>
      <c r="H207" s="141"/>
      <c r="I207" s="148"/>
      <c r="J207" s="148"/>
      <c r="K207" s="148"/>
      <c r="L207" s="148"/>
      <c r="M207" s="148"/>
      <c r="N207" s="148"/>
      <c r="O207" s="141"/>
      <c r="P207" s="141"/>
      <c r="Q207" s="147"/>
      <c r="R207" s="147"/>
      <c r="S207" s="147"/>
      <c r="T207" s="147"/>
      <c r="U207" s="147"/>
      <c r="V207" s="152"/>
      <c r="W207" s="147"/>
      <c r="X207" s="147"/>
      <c r="Y207" s="141"/>
      <c r="Z207" s="141"/>
      <c r="AA207" s="141"/>
      <c r="AB207" s="141"/>
      <c r="AC207" s="141"/>
      <c r="AD207" s="160"/>
      <c r="AE207" s="153"/>
      <c r="AF207" s="153"/>
      <c r="AG207" s="141"/>
      <c r="AH207" s="141"/>
      <c r="AI207" s="141"/>
      <c r="AJ207" s="141"/>
      <c r="AK207" s="147"/>
      <c r="AL207" s="147"/>
      <c r="AM207" s="141" t="str">
        <f t="shared" ca="1" si="12"/>
        <v>Desactualizado</v>
      </c>
      <c r="AN207" s="190">
        <f t="shared" si="13"/>
        <v>0</v>
      </c>
      <c r="AO207" s="193">
        <f t="shared" ca="1" si="14"/>
        <v>-1505.5666666666666</v>
      </c>
      <c r="AP207" s="195" t="str">
        <f t="shared" ca="1" si="15"/>
        <v>Vencida</v>
      </c>
    </row>
    <row r="208" spans="1:42" s="138" customFormat="1" ht="29.25" customHeight="1" x14ac:dyDescent="0.3">
      <c r="A208" s="147"/>
      <c r="B208" s="141"/>
      <c r="C208" s="141"/>
      <c r="D208" s="141"/>
      <c r="E208" s="141"/>
      <c r="F208" s="141"/>
      <c r="G208" s="141"/>
      <c r="H208" s="141"/>
      <c r="I208" s="162"/>
      <c r="J208" s="162"/>
      <c r="K208" s="148"/>
      <c r="L208" s="162"/>
      <c r="M208" s="162"/>
      <c r="N208" s="162"/>
      <c r="O208" s="141"/>
      <c r="P208" s="141"/>
      <c r="Q208" s="147"/>
      <c r="R208" s="147"/>
      <c r="S208" s="147"/>
      <c r="T208" s="147"/>
      <c r="U208" s="147"/>
      <c r="V208" s="152"/>
      <c r="W208" s="147"/>
      <c r="X208" s="147"/>
      <c r="Y208" s="141"/>
      <c r="Z208" s="141"/>
      <c r="AA208" s="141"/>
      <c r="AB208" s="141"/>
      <c r="AC208" s="141"/>
      <c r="AD208" s="160"/>
      <c r="AE208" s="153"/>
      <c r="AF208" s="153"/>
      <c r="AG208" s="141"/>
      <c r="AH208" s="141"/>
      <c r="AI208" s="141"/>
      <c r="AJ208" s="141"/>
      <c r="AK208" s="147"/>
      <c r="AL208" s="147"/>
      <c r="AM208" s="141" t="str">
        <f t="shared" ca="1" si="12"/>
        <v>Desactualizado</v>
      </c>
      <c r="AN208" s="190">
        <f t="shared" si="13"/>
        <v>0</v>
      </c>
      <c r="AO208" s="193">
        <f t="shared" ca="1" si="14"/>
        <v>-1505.5666666666666</v>
      </c>
      <c r="AP208" s="195" t="str">
        <f t="shared" ca="1" si="15"/>
        <v>Vencida</v>
      </c>
    </row>
    <row r="209" spans="1:42" s="138" customFormat="1" ht="29.25" customHeight="1" x14ac:dyDescent="0.3">
      <c r="A209" s="147"/>
      <c r="B209" s="148"/>
      <c r="C209" s="148"/>
      <c r="D209" s="148"/>
      <c r="E209" s="141"/>
      <c r="F209" s="141"/>
      <c r="G209" s="141"/>
      <c r="H209" s="141"/>
      <c r="I209" s="162"/>
      <c r="J209" s="162"/>
      <c r="K209" s="148"/>
      <c r="L209" s="162"/>
      <c r="M209" s="162"/>
      <c r="N209" s="162"/>
      <c r="O209" s="141"/>
      <c r="P209" s="141"/>
      <c r="Q209" s="147"/>
      <c r="R209" s="147"/>
      <c r="S209" s="147"/>
      <c r="T209" s="147"/>
      <c r="U209" s="147"/>
      <c r="V209" s="152"/>
      <c r="W209" s="147"/>
      <c r="X209" s="147"/>
      <c r="Y209" s="141"/>
      <c r="Z209" s="141"/>
      <c r="AA209" s="141"/>
      <c r="AB209" s="141"/>
      <c r="AC209" s="141"/>
      <c r="AD209" s="160"/>
      <c r="AE209" s="153"/>
      <c r="AF209" s="153"/>
      <c r="AG209" s="141"/>
      <c r="AH209" s="141"/>
      <c r="AI209" s="141"/>
      <c r="AJ209" s="141"/>
      <c r="AK209" s="147"/>
      <c r="AL209" s="147"/>
      <c r="AM209" s="141" t="str">
        <f t="shared" ca="1" si="12"/>
        <v>Desactualizado</v>
      </c>
      <c r="AN209" s="190">
        <f t="shared" si="13"/>
        <v>0</v>
      </c>
      <c r="AO209" s="193">
        <f t="shared" ca="1" si="14"/>
        <v>-1505.5666666666666</v>
      </c>
      <c r="AP209" s="195" t="str">
        <f t="shared" ca="1" si="15"/>
        <v>Vencida</v>
      </c>
    </row>
    <row r="210" spans="1:42" s="138" customFormat="1" ht="29.25" customHeight="1" x14ac:dyDescent="0.3">
      <c r="A210" s="147"/>
      <c r="B210" s="141"/>
      <c r="C210" s="141"/>
      <c r="D210" s="141"/>
      <c r="E210" s="141"/>
      <c r="F210" s="141"/>
      <c r="G210" s="141"/>
      <c r="H210" s="141"/>
      <c r="I210" s="148"/>
      <c r="J210" s="148"/>
      <c r="K210" s="148"/>
      <c r="L210" s="148"/>
      <c r="M210" s="148"/>
      <c r="N210" s="148"/>
      <c r="O210" s="141"/>
      <c r="P210" s="141"/>
      <c r="Q210" s="147"/>
      <c r="R210" s="147"/>
      <c r="S210" s="147"/>
      <c r="T210" s="147"/>
      <c r="U210" s="147"/>
      <c r="V210" s="152"/>
      <c r="W210" s="147"/>
      <c r="X210" s="147"/>
      <c r="Y210" s="141"/>
      <c r="Z210" s="141"/>
      <c r="AA210" s="141"/>
      <c r="AB210" s="141"/>
      <c r="AC210" s="141"/>
      <c r="AD210" s="160"/>
      <c r="AE210" s="153"/>
      <c r="AF210" s="153"/>
      <c r="AG210" s="141"/>
      <c r="AH210" s="141"/>
      <c r="AI210" s="141"/>
      <c r="AJ210" s="141"/>
      <c r="AK210" s="147"/>
      <c r="AL210" s="147"/>
      <c r="AM210" s="141" t="str">
        <f t="shared" ca="1" si="12"/>
        <v>Desactualizado</v>
      </c>
      <c r="AN210" s="190">
        <f t="shared" si="13"/>
        <v>0</v>
      </c>
      <c r="AO210" s="193">
        <f t="shared" ca="1" si="14"/>
        <v>-1505.5666666666666</v>
      </c>
      <c r="AP210" s="195" t="str">
        <f t="shared" ca="1" si="15"/>
        <v>Vencida</v>
      </c>
    </row>
    <row r="211" spans="1:42" s="138" customFormat="1" ht="29.25" customHeight="1" x14ac:dyDescent="0.3">
      <c r="A211" s="147"/>
      <c r="B211" s="141"/>
      <c r="C211" s="141"/>
      <c r="D211" s="141"/>
      <c r="E211" s="141"/>
      <c r="F211" s="141"/>
      <c r="G211" s="141"/>
      <c r="H211" s="141"/>
      <c r="I211" s="148"/>
      <c r="J211" s="148"/>
      <c r="K211" s="148"/>
      <c r="L211" s="148"/>
      <c r="M211" s="148"/>
      <c r="N211" s="148"/>
      <c r="O211" s="141"/>
      <c r="P211" s="141"/>
      <c r="Q211" s="147"/>
      <c r="R211" s="147"/>
      <c r="S211" s="147"/>
      <c r="T211" s="147"/>
      <c r="U211" s="147"/>
      <c r="V211" s="152"/>
      <c r="W211" s="147"/>
      <c r="X211" s="147"/>
      <c r="Y211" s="141"/>
      <c r="Z211" s="141"/>
      <c r="AA211" s="141"/>
      <c r="AB211" s="141"/>
      <c r="AC211" s="141"/>
      <c r="AD211" s="160"/>
      <c r="AE211" s="153"/>
      <c r="AF211" s="153"/>
      <c r="AG211" s="141"/>
      <c r="AH211" s="141"/>
      <c r="AI211" s="141"/>
      <c r="AJ211" s="141"/>
      <c r="AK211" s="147"/>
      <c r="AL211" s="147"/>
      <c r="AM211" s="141" t="str">
        <f t="shared" ca="1" si="12"/>
        <v>Desactualizado</v>
      </c>
      <c r="AN211" s="190">
        <f t="shared" si="13"/>
        <v>0</v>
      </c>
      <c r="AO211" s="193">
        <f t="shared" ca="1" si="14"/>
        <v>-1505.5666666666666</v>
      </c>
      <c r="AP211" s="195" t="str">
        <f t="shared" ca="1" si="15"/>
        <v>Vencida</v>
      </c>
    </row>
    <row r="212" spans="1:42" s="138" customFormat="1" ht="29.25" customHeight="1" x14ac:dyDescent="0.3">
      <c r="A212" s="147"/>
      <c r="B212" s="141"/>
      <c r="C212" s="141"/>
      <c r="D212" s="141"/>
      <c r="E212" s="141"/>
      <c r="F212" s="141"/>
      <c r="G212" s="141"/>
      <c r="H212" s="141"/>
      <c r="I212" s="148"/>
      <c r="J212" s="148"/>
      <c r="K212" s="148"/>
      <c r="L212" s="148"/>
      <c r="M212" s="148"/>
      <c r="N212" s="148"/>
      <c r="O212" s="141"/>
      <c r="P212" s="141"/>
      <c r="Q212" s="147"/>
      <c r="R212" s="147"/>
      <c r="S212" s="147"/>
      <c r="T212" s="147"/>
      <c r="U212" s="147"/>
      <c r="V212" s="152"/>
      <c r="W212" s="147"/>
      <c r="X212" s="147"/>
      <c r="Y212" s="141"/>
      <c r="Z212" s="141"/>
      <c r="AA212" s="141"/>
      <c r="AB212" s="141"/>
      <c r="AC212" s="141"/>
      <c r="AD212" s="160"/>
      <c r="AE212" s="153"/>
      <c r="AF212" s="153"/>
      <c r="AG212" s="141"/>
      <c r="AH212" s="141"/>
      <c r="AI212" s="141"/>
      <c r="AJ212" s="141"/>
      <c r="AK212" s="147"/>
      <c r="AL212" s="147"/>
      <c r="AM212" s="141" t="str">
        <f t="shared" ca="1" si="12"/>
        <v>Desactualizado</v>
      </c>
      <c r="AN212" s="190">
        <f t="shared" si="13"/>
        <v>0</v>
      </c>
      <c r="AO212" s="193">
        <f t="shared" ca="1" si="14"/>
        <v>-1505.5666666666666</v>
      </c>
      <c r="AP212" s="195" t="str">
        <f t="shared" ca="1" si="15"/>
        <v>Vencida</v>
      </c>
    </row>
    <row r="213" spans="1:42" s="138" customFormat="1" ht="29.25" customHeight="1" x14ac:dyDescent="0.3">
      <c r="A213" s="147"/>
      <c r="B213" s="141"/>
      <c r="C213" s="141"/>
      <c r="D213" s="141"/>
      <c r="E213" s="141"/>
      <c r="F213" s="141"/>
      <c r="G213" s="141"/>
      <c r="H213" s="141"/>
      <c r="I213" s="148"/>
      <c r="J213" s="148"/>
      <c r="K213" s="148"/>
      <c r="L213" s="148"/>
      <c r="M213" s="148"/>
      <c r="N213" s="148"/>
      <c r="O213" s="141"/>
      <c r="P213" s="141"/>
      <c r="Q213" s="147"/>
      <c r="R213" s="147"/>
      <c r="S213" s="147"/>
      <c r="T213" s="147"/>
      <c r="U213" s="147"/>
      <c r="V213" s="152"/>
      <c r="W213" s="147"/>
      <c r="X213" s="147"/>
      <c r="Y213" s="141"/>
      <c r="Z213" s="141"/>
      <c r="AA213" s="141"/>
      <c r="AB213" s="141"/>
      <c r="AC213" s="141"/>
      <c r="AD213" s="160"/>
      <c r="AE213" s="153"/>
      <c r="AF213" s="153"/>
      <c r="AG213" s="141"/>
      <c r="AH213" s="141"/>
      <c r="AI213" s="141"/>
      <c r="AJ213" s="141"/>
      <c r="AK213" s="147"/>
      <c r="AL213" s="147"/>
      <c r="AM213" s="141" t="str">
        <f t="shared" ca="1" si="12"/>
        <v>Desactualizado</v>
      </c>
      <c r="AN213" s="190">
        <f t="shared" si="13"/>
        <v>0</v>
      </c>
      <c r="AO213" s="193">
        <f t="shared" ca="1" si="14"/>
        <v>-1505.5666666666666</v>
      </c>
      <c r="AP213" s="195" t="str">
        <f t="shared" ca="1" si="15"/>
        <v>Vencida</v>
      </c>
    </row>
    <row r="214" spans="1:42" s="138" customFormat="1" ht="29.25" customHeight="1" x14ac:dyDescent="0.3">
      <c r="A214" s="147"/>
      <c r="B214" s="141"/>
      <c r="C214" s="141"/>
      <c r="D214" s="141"/>
      <c r="E214" s="141"/>
      <c r="F214" s="141"/>
      <c r="G214" s="141"/>
      <c r="H214" s="141"/>
      <c r="I214" s="148"/>
      <c r="J214" s="148"/>
      <c r="K214" s="148"/>
      <c r="L214" s="148"/>
      <c r="M214" s="148"/>
      <c r="N214" s="148"/>
      <c r="O214" s="141"/>
      <c r="P214" s="141"/>
      <c r="Q214" s="147"/>
      <c r="R214" s="147"/>
      <c r="S214" s="147"/>
      <c r="T214" s="147"/>
      <c r="U214" s="147"/>
      <c r="V214" s="152"/>
      <c r="W214" s="147"/>
      <c r="X214" s="147"/>
      <c r="Y214" s="141"/>
      <c r="Z214" s="141"/>
      <c r="AA214" s="141"/>
      <c r="AB214" s="141"/>
      <c r="AC214" s="141"/>
      <c r="AD214" s="160"/>
      <c r="AE214" s="153"/>
      <c r="AF214" s="153"/>
      <c r="AG214" s="141"/>
      <c r="AH214" s="141"/>
      <c r="AI214" s="141"/>
      <c r="AJ214" s="141"/>
      <c r="AK214" s="147"/>
      <c r="AL214" s="147"/>
      <c r="AM214" s="141" t="str">
        <f t="shared" ca="1" si="12"/>
        <v>Desactualizado</v>
      </c>
      <c r="AN214" s="190">
        <f t="shared" si="13"/>
        <v>0</v>
      </c>
      <c r="AO214" s="193">
        <f t="shared" ca="1" si="14"/>
        <v>-1505.5666666666666</v>
      </c>
      <c r="AP214" s="195" t="str">
        <f t="shared" ca="1" si="15"/>
        <v>Vencida</v>
      </c>
    </row>
    <row r="215" spans="1:42" s="138" customFormat="1" ht="29.25" customHeight="1" x14ac:dyDescent="0.3">
      <c r="A215" s="147"/>
      <c r="B215" s="141"/>
      <c r="C215" s="141"/>
      <c r="D215" s="141"/>
      <c r="E215" s="141"/>
      <c r="F215" s="141"/>
      <c r="G215" s="141"/>
      <c r="H215" s="141"/>
      <c r="I215" s="148"/>
      <c r="J215" s="148"/>
      <c r="K215" s="148"/>
      <c r="L215" s="148"/>
      <c r="M215" s="148"/>
      <c r="N215" s="148"/>
      <c r="O215" s="141"/>
      <c r="P215" s="141"/>
      <c r="Q215" s="147"/>
      <c r="R215" s="147"/>
      <c r="S215" s="147"/>
      <c r="T215" s="147"/>
      <c r="U215" s="147"/>
      <c r="V215" s="152"/>
      <c r="W215" s="147"/>
      <c r="X215" s="147"/>
      <c r="Y215" s="141"/>
      <c r="Z215" s="141"/>
      <c r="AA215" s="141"/>
      <c r="AB215" s="141"/>
      <c r="AC215" s="141"/>
      <c r="AD215" s="160"/>
      <c r="AE215" s="153"/>
      <c r="AF215" s="153"/>
      <c r="AG215" s="141"/>
      <c r="AH215" s="141"/>
      <c r="AI215" s="141"/>
      <c r="AJ215" s="141"/>
      <c r="AK215" s="147"/>
      <c r="AL215" s="147"/>
      <c r="AM215" s="141" t="str">
        <f t="shared" ca="1" si="12"/>
        <v>Desactualizado</v>
      </c>
      <c r="AN215" s="190">
        <f t="shared" si="13"/>
        <v>0</v>
      </c>
      <c r="AO215" s="193">
        <f t="shared" ca="1" si="14"/>
        <v>-1505.5666666666666</v>
      </c>
      <c r="AP215" s="195" t="str">
        <f t="shared" ca="1" si="15"/>
        <v>Vencida</v>
      </c>
    </row>
    <row r="216" spans="1:42" ht="29.25" customHeight="1" x14ac:dyDescent="0.3">
      <c r="A216" s="147"/>
      <c r="B216" s="141"/>
      <c r="C216" s="141"/>
      <c r="D216" s="141"/>
      <c r="E216" s="141"/>
      <c r="F216" s="141"/>
      <c r="G216" s="141"/>
      <c r="H216" s="141"/>
      <c r="I216" s="148"/>
      <c r="J216" s="148"/>
      <c r="K216" s="148"/>
      <c r="L216" s="148"/>
      <c r="M216" s="148"/>
      <c r="N216" s="148"/>
      <c r="O216" s="141"/>
      <c r="P216" s="141"/>
      <c r="Q216" s="147"/>
      <c r="R216" s="147"/>
      <c r="S216" s="147"/>
      <c r="T216" s="147"/>
      <c r="U216" s="147"/>
      <c r="V216" s="152"/>
      <c r="W216" s="147"/>
      <c r="X216" s="147"/>
      <c r="Y216" s="141"/>
      <c r="Z216" s="141"/>
      <c r="AA216" s="141"/>
      <c r="AB216" s="141"/>
      <c r="AC216" s="141"/>
      <c r="AD216" s="160"/>
      <c r="AE216" s="153"/>
      <c r="AF216" s="153"/>
      <c r="AG216" s="141"/>
      <c r="AH216" s="141"/>
      <c r="AI216" s="141"/>
      <c r="AJ216" s="141"/>
      <c r="AK216" s="147"/>
      <c r="AL216" s="147"/>
      <c r="AM216" s="141" t="str">
        <f t="shared" ca="1" si="12"/>
        <v>Desactualizado</v>
      </c>
      <c r="AN216" s="190">
        <f t="shared" si="13"/>
        <v>0</v>
      </c>
      <c r="AO216" s="193">
        <f t="shared" ca="1" si="14"/>
        <v>-1505.5666666666666</v>
      </c>
      <c r="AP216" s="195" t="str">
        <f t="shared" ca="1" si="15"/>
        <v>Vencida</v>
      </c>
    </row>
    <row r="217" spans="1:42" ht="29.25" customHeight="1" x14ac:dyDescent="0.3">
      <c r="A217" s="147"/>
      <c r="B217" s="141"/>
      <c r="C217" s="141"/>
      <c r="D217" s="141"/>
      <c r="E217" s="141"/>
      <c r="F217" s="141"/>
      <c r="G217" s="141"/>
      <c r="H217" s="141"/>
      <c r="I217" s="148"/>
      <c r="J217" s="148"/>
      <c r="K217" s="148"/>
      <c r="L217" s="148"/>
      <c r="M217" s="148"/>
      <c r="N217" s="148"/>
      <c r="O217" s="141"/>
      <c r="P217" s="141"/>
      <c r="Q217" s="147"/>
      <c r="R217" s="147"/>
      <c r="S217" s="147"/>
      <c r="T217" s="147"/>
      <c r="U217" s="147"/>
      <c r="V217" s="152"/>
      <c r="W217" s="147"/>
      <c r="X217" s="147"/>
      <c r="Y217" s="141"/>
      <c r="Z217" s="141"/>
      <c r="AA217" s="141"/>
      <c r="AB217" s="141"/>
      <c r="AC217" s="141"/>
      <c r="AD217" s="160"/>
      <c r="AE217" s="153"/>
      <c r="AF217" s="153"/>
      <c r="AG217" s="141"/>
      <c r="AH217" s="141"/>
      <c r="AI217" s="141"/>
      <c r="AJ217" s="141"/>
      <c r="AK217" s="147"/>
      <c r="AL217" s="147"/>
      <c r="AM217" s="141" t="str">
        <f t="shared" ca="1" si="12"/>
        <v>Desactualizado</v>
      </c>
      <c r="AN217" s="190">
        <f t="shared" si="13"/>
        <v>0</v>
      </c>
      <c r="AO217" s="193">
        <f t="shared" ca="1" si="14"/>
        <v>-1505.5666666666666</v>
      </c>
      <c r="AP217" s="195" t="str">
        <f t="shared" ca="1" si="15"/>
        <v>Vencida</v>
      </c>
    </row>
    <row r="218" spans="1:42" ht="29.25" customHeight="1" x14ac:dyDescent="0.3">
      <c r="A218" s="147"/>
      <c r="B218" s="141"/>
      <c r="C218" s="141"/>
      <c r="D218" s="141"/>
      <c r="E218" s="141"/>
      <c r="F218" s="141"/>
      <c r="G218" s="141"/>
      <c r="H218" s="141"/>
      <c r="I218" s="148"/>
      <c r="J218" s="148"/>
      <c r="K218" s="148"/>
      <c r="L218" s="148"/>
      <c r="M218" s="148"/>
      <c r="N218" s="148"/>
      <c r="O218" s="141"/>
      <c r="P218" s="141"/>
      <c r="Q218" s="147"/>
      <c r="R218" s="147"/>
      <c r="S218" s="147"/>
      <c r="T218" s="147"/>
      <c r="U218" s="147"/>
      <c r="V218" s="152"/>
      <c r="W218" s="147"/>
      <c r="X218" s="147"/>
      <c r="Y218" s="141"/>
      <c r="Z218" s="141"/>
      <c r="AA218" s="141"/>
      <c r="AB218" s="141"/>
      <c r="AC218" s="141"/>
      <c r="AD218" s="160"/>
      <c r="AE218" s="153"/>
      <c r="AF218" s="153"/>
      <c r="AG218" s="141"/>
      <c r="AH218" s="141"/>
      <c r="AI218" s="141"/>
      <c r="AJ218" s="141"/>
      <c r="AK218" s="147"/>
      <c r="AL218" s="147"/>
      <c r="AM218" s="141" t="str">
        <f t="shared" ca="1" si="12"/>
        <v>Desactualizado</v>
      </c>
      <c r="AN218" s="190">
        <f t="shared" si="13"/>
        <v>0</v>
      </c>
      <c r="AO218" s="193">
        <f t="shared" ca="1" si="14"/>
        <v>-1505.5666666666666</v>
      </c>
      <c r="AP218" s="195" t="str">
        <f t="shared" ca="1" si="15"/>
        <v>Vencida</v>
      </c>
    </row>
    <row r="219" spans="1:42" ht="29.25" customHeight="1" x14ac:dyDescent="0.3">
      <c r="A219" s="147"/>
      <c r="B219" s="141"/>
      <c r="C219" s="141"/>
      <c r="D219" s="141"/>
      <c r="E219" s="141"/>
      <c r="F219" s="141"/>
      <c r="G219" s="141"/>
      <c r="H219" s="141"/>
      <c r="I219" s="148"/>
      <c r="J219" s="148"/>
      <c r="K219" s="148"/>
      <c r="L219" s="148"/>
      <c r="M219" s="148"/>
      <c r="N219" s="148"/>
      <c r="O219" s="141"/>
      <c r="P219" s="141"/>
      <c r="Q219" s="147"/>
      <c r="R219" s="147"/>
      <c r="S219" s="147"/>
      <c r="T219" s="147"/>
      <c r="U219" s="147"/>
      <c r="V219" s="152"/>
      <c r="W219" s="147"/>
      <c r="X219" s="147"/>
      <c r="Y219" s="141"/>
      <c r="Z219" s="141"/>
      <c r="AA219" s="141"/>
      <c r="AB219" s="141"/>
      <c r="AC219" s="141"/>
      <c r="AD219" s="160"/>
      <c r="AE219" s="153"/>
      <c r="AF219" s="153"/>
      <c r="AG219" s="141"/>
      <c r="AH219" s="141"/>
      <c r="AI219" s="141"/>
      <c r="AJ219" s="141"/>
      <c r="AK219" s="147"/>
      <c r="AL219" s="147"/>
      <c r="AM219" s="141" t="str">
        <f t="shared" ca="1" si="12"/>
        <v>Desactualizado</v>
      </c>
      <c r="AN219" s="190">
        <f t="shared" si="13"/>
        <v>0</v>
      </c>
      <c r="AO219" s="193">
        <f t="shared" ca="1" si="14"/>
        <v>-1505.5666666666666</v>
      </c>
      <c r="AP219" s="195" t="str">
        <f t="shared" ca="1" si="15"/>
        <v>Vencida</v>
      </c>
    </row>
    <row r="220" spans="1:42" ht="29.25" customHeight="1" x14ac:dyDescent="0.3">
      <c r="A220" s="147"/>
      <c r="B220" s="141"/>
      <c r="C220" s="141"/>
      <c r="D220" s="141"/>
      <c r="E220" s="141"/>
      <c r="F220" s="141"/>
      <c r="G220" s="141"/>
      <c r="H220" s="141"/>
      <c r="I220" s="148"/>
      <c r="J220" s="148"/>
      <c r="K220" s="148"/>
      <c r="L220" s="148"/>
      <c r="M220" s="148"/>
      <c r="N220" s="148"/>
      <c r="O220" s="141"/>
      <c r="P220" s="141"/>
      <c r="Q220" s="147"/>
      <c r="R220" s="147"/>
      <c r="S220" s="147"/>
      <c r="T220" s="147"/>
      <c r="U220" s="147"/>
      <c r="V220" s="152"/>
      <c r="W220" s="147"/>
      <c r="X220" s="147"/>
      <c r="Y220" s="141"/>
      <c r="Z220" s="141"/>
      <c r="AA220" s="141"/>
      <c r="AB220" s="141"/>
      <c r="AC220" s="141"/>
      <c r="AD220" s="160"/>
      <c r="AE220" s="153"/>
      <c r="AF220" s="153"/>
      <c r="AG220" s="141"/>
      <c r="AH220" s="141"/>
      <c r="AI220" s="141"/>
      <c r="AJ220" s="141"/>
      <c r="AK220" s="147"/>
      <c r="AL220" s="147"/>
      <c r="AM220" s="141" t="str">
        <f t="shared" ca="1" si="12"/>
        <v>Desactualizado</v>
      </c>
      <c r="AN220" s="190">
        <f t="shared" si="13"/>
        <v>0</v>
      </c>
      <c r="AO220" s="193">
        <f t="shared" ca="1" si="14"/>
        <v>-1505.5666666666666</v>
      </c>
      <c r="AP220" s="195" t="str">
        <f t="shared" ca="1" si="15"/>
        <v>Vencida</v>
      </c>
    </row>
    <row r="221" spans="1:42" ht="29.25" customHeight="1" x14ac:dyDescent="0.3">
      <c r="A221" s="147"/>
      <c r="B221" s="148"/>
      <c r="C221" s="148"/>
      <c r="D221" s="148"/>
      <c r="E221" s="141"/>
      <c r="F221" s="141"/>
      <c r="G221" s="141"/>
      <c r="H221" s="141"/>
      <c r="I221" s="162"/>
      <c r="J221" s="162"/>
      <c r="K221" s="148"/>
      <c r="L221" s="162"/>
      <c r="M221" s="162"/>
      <c r="N221" s="162"/>
      <c r="O221" s="141"/>
      <c r="P221" s="141"/>
      <c r="Q221" s="147"/>
      <c r="R221" s="147"/>
      <c r="S221" s="147"/>
      <c r="T221" s="147"/>
      <c r="U221" s="147"/>
      <c r="V221" s="152"/>
      <c r="W221" s="147"/>
      <c r="X221" s="147"/>
      <c r="Y221" s="141"/>
      <c r="Z221" s="141"/>
      <c r="AA221" s="141"/>
      <c r="AB221" s="141"/>
      <c r="AC221" s="141"/>
      <c r="AD221" s="160"/>
      <c r="AE221" s="153"/>
      <c r="AF221" s="153"/>
      <c r="AG221" s="141"/>
      <c r="AH221" s="141"/>
      <c r="AI221" s="141"/>
      <c r="AJ221" s="141"/>
      <c r="AK221" s="147"/>
      <c r="AL221" s="147"/>
      <c r="AM221" s="141" t="str">
        <f t="shared" ca="1" si="12"/>
        <v>Desactualizado</v>
      </c>
      <c r="AN221" s="190">
        <f t="shared" si="13"/>
        <v>0</v>
      </c>
      <c r="AO221" s="193">
        <f t="shared" ca="1" si="14"/>
        <v>-1505.5666666666666</v>
      </c>
      <c r="AP221" s="195" t="str">
        <f t="shared" ca="1" si="15"/>
        <v>Vencida</v>
      </c>
    </row>
    <row r="222" spans="1:42" ht="29.25" customHeight="1" x14ac:dyDescent="0.3">
      <c r="A222" s="147"/>
      <c r="B222" s="148"/>
      <c r="C222" s="148"/>
      <c r="D222" s="148"/>
      <c r="E222" s="141"/>
      <c r="F222" s="141"/>
      <c r="G222" s="141"/>
      <c r="H222" s="141"/>
      <c r="I222" s="148"/>
      <c r="J222" s="148"/>
      <c r="K222" s="148"/>
      <c r="L222" s="148"/>
      <c r="M222" s="148"/>
      <c r="N222" s="148"/>
      <c r="O222" s="141"/>
      <c r="P222" s="141"/>
      <c r="Q222" s="147"/>
      <c r="R222" s="147"/>
      <c r="S222" s="147"/>
      <c r="T222" s="147"/>
      <c r="U222" s="147"/>
      <c r="V222" s="152"/>
      <c r="W222" s="147"/>
      <c r="X222" s="147"/>
      <c r="Y222" s="141"/>
      <c r="Z222" s="141"/>
      <c r="AA222" s="141"/>
      <c r="AB222" s="141"/>
      <c r="AC222" s="141"/>
      <c r="AD222" s="160"/>
      <c r="AE222" s="153"/>
      <c r="AF222" s="153"/>
      <c r="AG222" s="141"/>
      <c r="AH222" s="141"/>
      <c r="AI222" s="141"/>
      <c r="AJ222" s="141"/>
      <c r="AK222" s="147"/>
      <c r="AL222" s="175"/>
      <c r="AM222" s="141" t="str">
        <f t="shared" ca="1" si="12"/>
        <v>Desactualizado</v>
      </c>
      <c r="AN222" s="190">
        <f t="shared" si="13"/>
        <v>0</v>
      </c>
      <c r="AO222" s="193">
        <f t="shared" ca="1" si="14"/>
        <v>-1505.5666666666666</v>
      </c>
      <c r="AP222" s="195" t="str">
        <f t="shared" ca="1" si="15"/>
        <v>Vencida</v>
      </c>
    </row>
    <row r="223" spans="1:42" ht="29.25" customHeight="1" x14ac:dyDescent="0.3">
      <c r="A223" s="147"/>
      <c r="B223" s="141"/>
      <c r="C223" s="141"/>
      <c r="D223" s="141"/>
      <c r="E223" s="141"/>
      <c r="F223" s="141"/>
      <c r="G223" s="141"/>
      <c r="H223" s="141"/>
      <c r="I223" s="148"/>
      <c r="J223" s="148"/>
      <c r="K223" s="148"/>
      <c r="L223" s="148"/>
      <c r="M223" s="148"/>
      <c r="N223" s="148"/>
      <c r="O223" s="141"/>
      <c r="P223" s="141"/>
      <c r="Q223" s="147"/>
      <c r="R223" s="147"/>
      <c r="S223" s="147"/>
      <c r="T223" s="147"/>
      <c r="U223" s="147"/>
      <c r="V223" s="152"/>
      <c r="W223" s="147"/>
      <c r="X223" s="147"/>
      <c r="Y223" s="141"/>
      <c r="Z223" s="141"/>
      <c r="AA223" s="141"/>
      <c r="AB223" s="141"/>
      <c r="AC223" s="141"/>
      <c r="AD223" s="160"/>
      <c r="AE223" s="153"/>
      <c r="AF223" s="153"/>
      <c r="AG223" s="141"/>
      <c r="AH223" s="141"/>
      <c r="AI223" s="141"/>
      <c r="AJ223" s="141"/>
      <c r="AK223" s="147"/>
      <c r="AL223" s="147"/>
      <c r="AM223" s="141" t="str">
        <f t="shared" ca="1" si="12"/>
        <v>Desactualizado</v>
      </c>
      <c r="AN223" s="190">
        <f t="shared" si="13"/>
        <v>0</v>
      </c>
      <c r="AO223" s="193">
        <f t="shared" ca="1" si="14"/>
        <v>-1505.5666666666666</v>
      </c>
      <c r="AP223" s="195" t="str">
        <f t="shared" ca="1" si="15"/>
        <v>Vencida</v>
      </c>
    </row>
    <row r="224" spans="1:42" ht="29.25" customHeight="1" x14ac:dyDescent="0.3">
      <c r="A224" s="147"/>
      <c r="B224" s="141"/>
      <c r="C224" s="141"/>
      <c r="D224" s="141"/>
      <c r="E224" s="141"/>
      <c r="F224" s="141"/>
      <c r="G224" s="141"/>
      <c r="H224" s="141"/>
      <c r="I224" s="148"/>
      <c r="J224" s="148"/>
      <c r="K224" s="148"/>
      <c r="L224" s="148"/>
      <c r="M224" s="148"/>
      <c r="N224" s="148"/>
      <c r="O224" s="141"/>
      <c r="P224" s="141"/>
      <c r="Q224" s="147"/>
      <c r="R224" s="147"/>
      <c r="S224" s="147"/>
      <c r="T224" s="147"/>
      <c r="U224" s="147"/>
      <c r="V224" s="152"/>
      <c r="W224" s="147"/>
      <c r="X224" s="147"/>
      <c r="Y224" s="141"/>
      <c r="Z224" s="141"/>
      <c r="AA224" s="141"/>
      <c r="AB224" s="141"/>
      <c r="AC224" s="141"/>
      <c r="AD224" s="160"/>
      <c r="AE224" s="153"/>
      <c r="AF224" s="153"/>
      <c r="AG224" s="141"/>
      <c r="AH224" s="141"/>
      <c r="AI224" s="141"/>
      <c r="AJ224" s="141"/>
      <c r="AK224" s="147"/>
      <c r="AL224" s="147"/>
      <c r="AM224" s="141" t="str">
        <f t="shared" ca="1" si="12"/>
        <v>Desactualizado</v>
      </c>
      <c r="AN224" s="190">
        <f t="shared" si="13"/>
        <v>0</v>
      </c>
      <c r="AO224" s="193">
        <f t="shared" ca="1" si="14"/>
        <v>-1505.5666666666666</v>
      </c>
      <c r="AP224" s="195" t="str">
        <f t="shared" ca="1" si="15"/>
        <v>Vencida</v>
      </c>
    </row>
    <row r="225" spans="1:42" ht="29.25" customHeight="1" x14ac:dyDescent="0.3">
      <c r="A225" s="147"/>
      <c r="B225" s="141"/>
      <c r="C225" s="141"/>
      <c r="D225" s="141"/>
      <c r="E225" s="141"/>
      <c r="F225" s="141"/>
      <c r="G225" s="141"/>
      <c r="H225" s="141"/>
      <c r="I225" s="148"/>
      <c r="J225" s="148"/>
      <c r="K225" s="148"/>
      <c r="L225" s="148"/>
      <c r="M225" s="148"/>
      <c r="N225" s="148"/>
      <c r="O225" s="141"/>
      <c r="P225" s="141"/>
      <c r="Q225" s="147"/>
      <c r="R225" s="147"/>
      <c r="S225" s="147"/>
      <c r="T225" s="147"/>
      <c r="U225" s="147"/>
      <c r="V225" s="152"/>
      <c r="W225" s="147"/>
      <c r="X225" s="147"/>
      <c r="Y225" s="141"/>
      <c r="Z225" s="141"/>
      <c r="AA225" s="141"/>
      <c r="AB225" s="141"/>
      <c r="AC225" s="141"/>
      <c r="AD225" s="160"/>
      <c r="AE225" s="153"/>
      <c r="AF225" s="153"/>
      <c r="AG225" s="141"/>
      <c r="AH225" s="141"/>
      <c r="AI225" s="141"/>
      <c r="AJ225" s="141"/>
      <c r="AK225" s="147"/>
      <c r="AL225" s="147"/>
      <c r="AM225" s="141" t="str">
        <f t="shared" ca="1" si="12"/>
        <v>Desactualizado</v>
      </c>
      <c r="AN225" s="190">
        <f t="shared" si="13"/>
        <v>0</v>
      </c>
      <c r="AO225" s="193">
        <f t="shared" ca="1" si="14"/>
        <v>-1505.5666666666666</v>
      </c>
      <c r="AP225" s="195" t="str">
        <f t="shared" ca="1" si="15"/>
        <v>Vencida</v>
      </c>
    </row>
    <row r="226" spans="1:42" ht="29.25" customHeight="1" x14ac:dyDescent="0.3">
      <c r="A226" s="147"/>
      <c r="B226" s="141"/>
      <c r="C226" s="141"/>
      <c r="D226" s="141"/>
      <c r="E226" s="141"/>
      <c r="F226" s="141"/>
      <c r="G226" s="141"/>
      <c r="H226" s="141"/>
      <c r="I226" s="148"/>
      <c r="J226" s="148"/>
      <c r="K226" s="148"/>
      <c r="L226" s="148"/>
      <c r="M226" s="148"/>
      <c r="N226" s="148"/>
      <c r="O226" s="141"/>
      <c r="P226" s="141"/>
      <c r="Q226" s="147"/>
      <c r="R226" s="147"/>
      <c r="S226" s="147"/>
      <c r="T226" s="147"/>
      <c r="U226" s="147"/>
      <c r="V226" s="152"/>
      <c r="W226" s="147"/>
      <c r="X226" s="147"/>
      <c r="Y226" s="141"/>
      <c r="Z226" s="141"/>
      <c r="AA226" s="141"/>
      <c r="AB226" s="141"/>
      <c r="AC226" s="141"/>
      <c r="AD226" s="160"/>
      <c r="AE226" s="153"/>
      <c r="AF226" s="153"/>
      <c r="AG226" s="141"/>
      <c r="AH226" s="141"/>
      <c r="AI226" s="141"/>
      <c r="AJ226" s="141"/>
      <c r="AK226" s="147"/>
      <c r="AL226" s="147"/>
      <c r="AM226" s="141" t="str">
        <f t="shared" ca="1" si="12"/>
        <v>Desactualizado</v>
      </c>
      <c r="AN226" s="190">
        <f t="shared" si="13"/>
        <v>0</v>
      </c>
      <c r="AO226" s="193">
        <f t="shared" ca="1" si="14"/>
        <v>-1505.5666666666666</v>
      </c>
      <c r="AP226" s="195" t="str">
        <f t="shared" ca="1" si="15"/>
        <v>Vencida</v>
      </c>
    </row>
    <row r="227" spans="1:42" ht="29.25" customHeight="1" x14ac:dyDescent="0.3">
      <c r="A227" s="147"/>
      <c r="B227" s="141"/>
      <c r="C227" s="141"/>
      <c r="D227" s="141"/>
      <c r="E227" s="141"/>
      <c r="F227" s="141"/>
      <c r="G227" s="141"/>
      <c r="H227" s="141"/>
      <c r="I227" s="148"/>
      <c r="J227" s="148"/>
      <c r="K227" s="148"/>
      <c r="L227" s="148"/>
      <c r="M227" s="148"/>
      <c r="N227" s="148"/>
      <c r="O227" s="141"/>
      <c r="P227" s="141"/>
      <c r="Q227" s="147"/>
      <c r="R227" s="147"/>
      <c r="S227" s="147"/>
      <c r="T227" s="147"/>
      <c r="U227" s="147"/>
      <c r="V227" s="152"/>
      <c r="W227" s="147"/>
      <c r="X227" s="147"/>
      <c r="Y227" s="141"/>
      <c r="Z227" s="141"/>
      <c r="AA227" s="141"/>
      <c r="AB227" s="141"/>
      <c r="AC227" s="141"/>
      <c r="AD227" s="160"/>
      <c r="AE227" s="153"/>
      <c r="AF227" s="153"/>
      <c r="AG227" s="141"/>
      <c r="AH227" s="141"/>
      <c r="AI227" s="141"/>
      <c r="AJ227" s="141"/>
      <c r="AK227" s="147"/>
      <c r="AL227" s="175"/>
      <c r="AM227" s="141" t="str">
        <f t="shared" ca="1" si="12"/>
        <v>Desactualizado</v>
      </c>
      <c r="AN227" s="190">
        <f t="shared" si="13"/>
        <v>0</v>
      </c>
      <c r="AO227" s="193">
        <f t="shared" ca="1" si="14"/>
        <v>-1505.5666666666666</v>
      </c>
      <c r="AP227" s="195" t="str">
        <f t="shared" ca="1" si="15"/>
        <v>Vencida</v>
      </c>
    </row>
    <row r="228" spans="1:42" ht="29.25" customHeight="1" x14ac:dyDescent="0.3">
      <c r="A228" s="147"/>
      <c r="B228" s="141"/>
      <c r="C228" s="141"/>
      <c r="D228" s="141"/>
      <c r="E228" s="141"/>
      <c r="F228" s="141"/>
      <c r="G228" s="141"/>
      <c r="H228" s="141"/>
      <c r="I228" s="148"/>
      <c r="J228" s="148"/>
      <c r="K228" s="148"/>
      <c r="L228" s="148"/>
      <c r="M228" s="148"/>
      <c r="N228" s="148"/>
      <c r="O228" s="141"/>
      <c r="P228" s="141"/>
      <c r="Q228" s="147"/>
      <c r="R228" s="147"/>
      <c r="S228" s="147"/>
      <c r="T228" s="147"/>
      <c r="U228" s="147"/>
      <c r="V228" s="152"/>
      <c r="W228" s="147"/>
      <c r="X228" s="147"/>
      <c r="Y228" s="141"/>
      <c r="Z228" s="141"/>
      <c r="AA228" s="141"/>
      <c r="AB228" s="141"/>
      <c r="AC228" s="141"/>
      <c r="AD228" s="160"/>
      <c r="AE228" s="153"/>
      <c r="AF228" s="153"/>
      <c r="AG228" s="141"/>
      <c r="AH228" s="141"/>
      <c r="AI228" s="141"/>
      <c r="AJ228" s="141"/>
      <c r="AK228" s="147"/>
      <c r="AL228" s="175"/>
      <c r="AM228" s="141" t="str">
        <f t="shared" ca="1" si="12"/>
        <v>Desactualizado</v>
      </c>
      <c r="AN228" s="190">
        <f t="shared" si="13"/>
        <v>0</v>
      </c>
      <c r="AO228" s="193">
        <f t="shared" ca="1" si="14"/>
        <v>-1505.5666666666666</v>
      </c>
      <c r="AP228" s="195" t="str">
        <f t="shared" ca="1" si="15"/>
        <v>Vencida</v>
      </c>
    </row>
    <row r="229" spans="1:42" ht="29.25" customHeight="1" x14ac:dyDescent="0.3">
      <c r="A229" s="147"/>
      <c r="B229" s="141"/>
      <c r="C229" s="141"/>
      <c r="D229" s="141"/>
      <c r="E229" s="141"/>
      <c r="F229" s="141"/>
      <c r="G229" s="141"/>
      <c r="H229" s="141"/>
      <c r="I229" s="148"/>
      <c r="J229" s="148"/>
      <c r="K229" s="148"/>
      <c r="L229" s="148"/>
      <c r="M229" s="148"/>
      <c r="N229" s="148"/>
      <c r="O229" s="141"/>
      <c r="P229" s="141"/>
      <c r="Q229" s="147"/>
      <c r="R229" s="147"/>
      <c r="S229" s="147"/>
      <c r="T229" s="147"/>
      <c r="U229" s="147"/>
      <c r="V229" s="152"/>
      <c r="W229" s="147"/>
      <c r="X229" s="147"/>
      <c r="Y229" s="141"/>
      <c r="Z229" s="141"/>
      <c r="AA229" s="141"/>
      <c r="AB229" s="141"/>
      <c r="AC229" s="141"/>
      <c r="AD229" s="160"/>
      <c r="AE229" s="153"/>
      <c r="AF229" s="153"/>
      <c r="AG229" s="141"/>
      <c r="AH229" s="141"/>
      <c r="AI229" s="141"/>
      <c r="AJ229" s="141"/>
      <c r="AK229" s="147"/>
      <c r="AL229" s="175"/>
      <c r="AM229" s="141" t="str">
        <f t="shared" ca="1" si="12"/>
        <v>Desactualizado</v>
      </c>
      <c r="AN229" s="190">
        <f t="shared" si="13"/>
        <v>0</v>
      </c>
      <c r="AO229" s="193">
        <f t="shared" ca="1" si="14"/>
        <v>-1505.5666666666666</v>
      </c>
      <c r="AP229" s="195" t="str">
        <f t="shared" ca="1" si="15"/>
        <v>Vencida</v>
      </c>
    </row>
    <row r="230" spans="1:42" ht="29.25" customHeight="1" x14ac:dyDescent="0.3">
      <c r="A230" s="147"/>
      <c r="B230" s="141"/>
      <c r="C230" s="141"/>
      <c r="D230" s="141"/>
      <c r="E230" s="141"/>
      <c r="F230" s="141"/>
      <c r="G230" s="141"/>
      <c r="H230" s="141"/>
      <c r="I230" s="148"/>
      <c r="J230" s="148"/>
      <c r="K230" s="148"/>
      <c r="L230" s="148"/>
      <c r="M230" s="148"/>
      <c r="N230" s="148"/>
      <c r="O230" s="141"/>
      <c r="P230" s="141"/>
      <c r="Q230" s="147"/>
      <c r="R230" s="147"/>
      <c r="S230" s="147"/>
      <c r="T230" s="147"/>
      <c r="U230" s="147"/>
      <c r="V230" s="152"/>
      <c r="W230" s="147"/>
      <c r="X230" s="147"/>
      <c r="Y230" s="141"/>
      <c r="Z230" s="141"/>
      <c r="AA230" s="141"/>
      <c r="AB230" s="141"/>
      <c r="AC230" s="141"/>
      <c r="AD230" s="160"/>
      <c r="AE230" s="153"/>
      <c r="AF230" s="153"/>
      <c r="AG230" s="141"/>
      <c r="AH230" s="141"/>
      <c r="AI230" s="141"/>
      <c r="AJ230" s="141"/>
      <c r="AK230" s="147"/>
      <c r="AL230" s="175"/>
      <c r="AM230" s="141" t="str">
        <f t="shared" ca="1" si="12"/>
        <v>Desactualizado</v>
      </c>
      <c r="AN230" s="190">
        <f t="shared" si="13"/>
        <v>0</v>
      </c>
      <c r="AO230" s="193">
        <f t="shared" ca="1" si="14"/>
        <v>-1505.5666666666666</v>
      </c>
      <c r="AP230" s="195" t="str">
        <f t="shared" ca="1" si="15"/>
        <v>Vencida</v>
      </c>
    </row>
    <row r="231" spans="1:42" ht="29.25" customHeight="1" x14ac:dyDescent="0.3">
      <c r="A231" s="147"/>
      <c r="B231" s="141"/>
      <c r="C231" s="141"/>
      <c r="D231" s="141"/>
      <c r="E231" s="141"/>
      <c r="F231" s="141"/>
      <c r="G231" s="141"/>
      <c r="H231" s="141"/>
      <c r="I231" s="148"/>
      <c r="J231" s="148"/>
      <c r="K231" s="148"/>
      <c r="L231" s="148"/>
      <c r="M231" s="148"/>
      <c r="N231" s="148"/>
      <c r="O231" s="141"/>
      <c r="P231" s="141"/>
      <c r="Q231" s="147"/>
      <c r="R231" s="147"/>
      <c r="S231" s="147"/>
      <c r="T231" s="147"/>
      <c r="U231" s="147"/>
      <c r="V231" s="152"/>
      <c r="W231" s="147"/>
      <c r="X231" s="147"/>
      <c r="Y231" s="141"/>
      <c r="Z231" s="141"/>
      <c r="AA231" s="141"/>
      <c r="AB231" s="141"/>
      <c r="AC231" s="141"/>
      <c r="AD231" s="160"/>
      <c r="AE231" s="153"/>
      <c r="AF231" s="153"/>
      <c r="AG231" s="141"/>
      <c r="AH231" s="141"/>
      <c r="AI231" s="141"/>
      <c r="AJ231" s="141"/>
      <c r="AK231" s="147"/>
      <c r="AL231" s="175"/>
      <c r="AM231" s="141" t="str">
        <f t="shared" ca="1" si="12"/>
        <v>Desactualizado</v>
      </c>
      <c r="AN231" s="190">
        <f t="shared" si="13"/>
        <v>0</v>
      </c>
      <c r="AO231" s="193">
        <f t="shared" ca="1" si="14"/>
        <v>-1505.5666666666666</v>
      </c>
      <c r="AP231" s="195" t="str">
        <f t="shared" ca="1" si="15"/>
        <v>Vencida</v>
      </c>
    </row>
    <row r="232" spans="1:42" ht="29.25" customHeight="1" x14ac:dyDescent="0.3">
      <c r="A232" s="147"/>
      <c r="B232" s="141"/>
      <c r="C232" s="141"/>
      <c r="D232" s="141"/>
      <c r="E232" s="141"/>
      <c r="F232" s="141"/>
      <c r="G232" s="141"/>
      <c r="H232" s="141"/>
      <c r="I232" s="148"/>
      <c r="J232" s="148"/>
      <c r="K232" s="148"/>
      <c r="L232" s="148"/>
      <c r="M232" s="148"/>
      <c r="N232" s="148"/>
      <c r="O232" s="141"/>
      <c r="P232" s="141"/>
      <c r="Q232" s="147"/>
      <c r="R232" s="147"/>
      <c r="S232" s="147"/>
      <c r="T232" s="147"/>
      <c r="U232" s="147"/>
      <c r="V232" s="152"/>
      <c r="W232" s="147"/>
      <c r="X232" s="147"/>
      <c r="Y232" s="141"/>
      <c r="Z232" s="141"/>
      <c r="AA232" s="141"/>
      <c r="AB232" s="141"/>
      <c r="AC232" s="141"/>
      <c r="AD232" s="160"/>
      <c r="AE232" s="153"/>
      <c r="AF232" s="153"/>
      <c r="AG232" s="141"/>
      <c r="AH232" s="141"/>
      <c r="AI232" s="141"/>
      <c r="AJ232" s="141"/>
      <c r="AK232" s="147"/>
      <c r="AL232" s="175"/>
      <c r="AM232" s="141" t="str">
        <f t="shared" ca="1" si="12"/>
        <v>Desactualizado</v>
      </c>
      <c r="AN232" s="190">
        <f t="shared" si="13"/>
        <v>0</v>
      </c>
      <c r="AO232" s="193">
        <f t="shared" ca="1" si="14"/>
        <v>-1505.5666666666666</v>
      </c>
      <c r="AP232" s="195" t="str">
        <f t="shared" ca="1" si="15"/>
        <v>Vencida</v>
      </c>
    </row>
    <row r="233" spans="1:42" ht="29.25" customHeight="1" x14ac:dyDescent="0.3">
      <c r="A233" s="147"/>
      <c r="B233" s="141"/>
      <c r="C233" s="141"/>
      <c r="D233" s="141"/>
      <c r="E233" s="141"/>
      <c r="F233" s="141"/>
      <c r="G233" s="141"/>
      <c r="H233" s="141"/>
      <c r="I233" s="148"/>
      <c r="J233" s="148"/>
      <c r="K233" s="148"/>
      <c r="L233" s="148"/>
      <c r="M233" s="148"/>
      <c r="N233" s="148"/>
      <c r="O233" s="141"/>
      <c r="P233" s="141"/>
      <c r="Q233" s="147"/>
      <c r="R233" s="147"/>
      <c r="S233" s="147"/>
      <c r="T233" s="147"/>
      <c r="U233" s="147"/>
      <c r="V233" s="152"/>
      <c r="W233" s="147"/>
      <c r="X233" s="147"/>
      <c r="Y233" s="141"/>
      <c r="Z233" s="141"/>
      <c r="AA233" s="141"/>
      <c r="AB233" s="141"/>
      <c r="AC233" s="141"/>
      <c r="AD233" s="160"/>
      <c r="AE233" s="153"/>
      <c r="AF233" s="153"/>
      <c r="AG233" s="141"/>
      <c r="AH233" s="141"/>
      <c r="AI233" s="141"/>
      <c r="AJ233" s="141"/>
      <c r="AK233" s="147"/>
      <c r="AL233" s="147"/>
      <c r="AM233" s="141" t="str">
        <f t="shared" ca="1" si="12"/>
        <v>Desactualizado</v>
      </c>
      <c r="AN233" s="190">
        <f t="shared" si="13"/>
        <v>0</v>
      </c>
      <c r="AO233" s="193">
        <f t="shared" ca="1" si="14"/>
        <v>-1505.5666666666666</v>
      </c>
      <c r="AP233" s="195" t="str">
        <f t="shared" ca="1" si="15"/>
        <v>Vencida</v>
      </c>
    </row>
    <row r="234" spans="1:42" ht="29.25" customHeight="1" x14ac:dyDescent="0.3">
      <c r="A234" s="147"/>
      <c r="B234" s="141"/>
      <c r="C234" s="141"/>
      <c r="D234" s="141"/>
      <c r="E234" s="141"/>
      <c r="F234" s="141"/>
      <c r="G234" s="141"/>
      <c r="H234" s="141"/>
      <c r="I234" s="148"/>
      <c r="J234" s="148"/>
      <c r="K234" s="148"/>
      <c r="L234" s="148"/>
      <c r="M234" s="148"/>
      <c r="N234" s="148"/>
      <c r="O234" s="141"/>
      <c r="P234" s="141"/>
      <c r="Q234" s="147"/>
      <c r="R234" s="147"/>
      <c r="S234" s="147"/>
      <c r="T234" s="147"/>
      <c r="U234" s="147"/>
      <c r="V234" s="152"/>
      <c r="W234" s="147"/>
      <c r="X234" s="147"/>
      <c r="Y234" s="141"/>
      <c r="Z234" s="141"/>
      <c r="AA234" s="141"/>
      <c r="AB234" s="141"/>
      <c r="AC234" s="141"/>
      <c r="AD234" s="160"/>
      <c r="AE234" s="153"/>
      <c r="AF234" s="153"/>
      <c r="AG234" s="141"/>
      <c r="AH234" s="141"/>
      <c r="AI234" s="141"/>
      <c r="AJ234" s="141"/>
      <c r="AK234" s="147"/>
      <c r="AL234" s="175"/>
      <c r="AM234" s="141" t="str">
        <f t="shared" ca="1" si="12"/>
        <v>Desactualizado</v>
      </c>
      <c r="AN234" s="190">
        <f t="shared" si="13"/>
        <v>0</v>
      </c>
      <c r="AO234" s="193">
        <f t="shared" ca="1" si="14"/>
        <v>-1505.5666666666666</v>
      </c>
      <c r="AP234" s="195" t="str">
        <f t="shared" ca="1" si="15"/>
        <v>Vencida</v>
      </c>
    </row>
    <row r="235" spans="1:42" ht="29.25" customHeight="1" x14ac:dyDescent="0.3">
      <c r="A235" s="147"/>
      <c r="B235" s="141"/>
      <c r="C235" s="141"/>
      <c r="D235" s="141"/>
      <c r="E235" s="141"/>
      <c r="F235" s="141"/>
      <c r="G235" s="141"/>
      <c r="H235" s="141"/>
      <c r="I235" s="148"/>
      <c r="J235" s="148"/>
      <c r="K235" s="148"/>
      <c r="L235" s="148"/>
      <c r="M235" s="148"/>
      <c r="N235" s="148"/>
      <c r="O235" s="141"/>
      <c r="P235" s="141"/>
      <c r="Q235" s="147"/>
      <c r="R235" s="147"/>
      <c r="S235" s="147"/>
      <c r="T235" s="147"/>
      <c r="U235" s="147"/>
      <c r="V235" s="152"/>
      <c r="W235" s="147"/>
      <c r="X235" s="147"/>
      <c r="Y235" s="141"/>
      <c r="Z235" s="141"/>
      <c r="AA235" s="141"/>
      <c r="AB235" s="141"/>
      <c r="AC235" s="141"/>
      <c r="AD235" s="160"/>
      <c r="AE235" s="153"/>
      <c r="AF235" s="153"/>
      <c r="AG235" s="141"/>
      <c r="AH235" s="141"/>
      <c r="AI235" s="141"/>
      <c r="AJ235" s="141"/>
      <c r="AK235" s="147"/>
      <c r="AL235" s="175"/>
      <c r="AM235" s="141" t="str">
        <f t="shared" ca="1" si="12"/>
        <v>Desactualizado</v>
      </c>
      <c r="AN235" s="190">
        <f t="shared" si="13"/>
        <v>0</v>
      </c>
      <c r="AO235" s="193">
        <f t="shared" ca="1" si="14"/>
        <v>-1505.5666666666666</v>
      </c>
      <c r="AP235" s="195" t="str">
        <f t="shared" ca="1" si="15"/>
        <v>Vencida</v>
      </c>
    </row>
    <row r="236" spans="1:42" ht="29.25" customHeight="1" x14ac:dyDescent="0.3">
      <c r="A236" s="147"/>
      <c r="B236" s="141"/>
      <c r="C236" s="141"/>
      <c r="D236" s="141"/>
      <c r="E236" s="141"/>
      <c r="F236" s="141"/>
      <c r="G236" s="141"/>
      <c r="H236" s="141"/>
      <c r="I236" s="148"/>
      <c r="J236" s="148"/>
      <c r="K236" s="148"/>
      <c r="L236" s="148"/>
      <c r="M236" s="148"/>
      <c r="N236" s="148"/>
      <c r="O236" s="141"/>
      <c r="P236" s="141"/>
      <c r="Q236" s="147"/>
      <c r="R236" s="147"/>
      <c r="S236" s="147"/>
      <c r="T236" s="147"/>
      <c r="U236" s="147"/>
      <c r="V236" s="152"/>
      <c r="W236" s="147"/>
      <c r="X236" s="147"/>
      <c r="Y236" s="141"/>
      <c r="Z236" s="141"/>
      <c r="AA236" s="141"/>
      <c r="AB236" s="141"/>
      <c r="AC236" s="141"/>
      <c r="AD236" s="160"/>
      <c r="AE236" s="153"/>
      <c r="AF236" s="153"/>
      <c r="AG236" s="141"/>
      <c r="AH236" s="141"/>
      <c r="AI236" s="141"/>
      <c r="AJ236" s="141"/>
      <c r="AK236" s="147"/>
      <c r="AL236" s="175"/>
      <c r="AM236" s="141" t="str">
        <f t="shared" ca="1" si="12"/>
        <v>Desactualizado</v>
      </c>
      <c r="AN236" s="190">
        <f t="shared" si="13"/>
        <v>0</v>
      </c>
      <c r="AO236" s="193">
        <f t="shared" ca="1" si="14"/>
        <v>-1505.5666666666666</v>
      </c>
      <c r="AP236" s="195" t="str">
        <f t="shared" ca="1" si="15"/>
        <v>Vencida</v>
      </c>
    </row>
    <row r="237" spans="1:42" ht="29.25" customHeight="1" x14ac:dyDescent="0.3">
      <c r="A237" s="147"/>
      <c r="B237" s="141"/>
      <c r="C237" s="141"/>
      <c r="D237" s="141"/>
      <c r="E237" s="141"/>
      <c r="F237" s="141"/>
      <c r="G237" s="141"/>
      <c r="H237" s="141"/>
      <c r="I237" s="148"/>
      <c r="J237" s="148"/>
      <c r="K237" s="148"/>
      <c r="L237" s="148"/>
      <c r="M237" s="148"/>
      <c r="N237" s="148"/>
      <c r="O237" s="141"/>
      <c r="P237" s="141"/>
      <c r="Q237" s="147"/>
      <c r="R237" s="147"/>
      <c r="S237" s="147"/>
      <c r="T237" s="147"/>
      <c r="U237" s="147"/>
      <c r="V237" s="152"/>
      <c r="W237" s="147"/>
      <c r="X237" s="147"/>
      <c r="Y237" s="141"/>
      <c r="Z237" s="141"/>
      <c r="AA237" s="141"/>
      <c r="AB237" s="141"/>
      <c r="AC237" s="141"/>
      <c r="AD237" s="160"/>
      <c r="AE237" s="153"/>
      <c r="AF237" s="153"/>
      <c r="AG237" s="141"/>
      <c r="AH237" s="141"/>
      <c r="AI237" s="141"/>
      <c r="AJ237" s="141"/>
      <c r="AK237" s="147"/>
      <c r="AL237" s="175"/>
      <c r="AM237" s="141" t="str">
        <f t="shared" ca="1" si="12"/>
        <v>Desactualizado</v>
      </c>
      <c r="AN237" s="190">
        <f t="shared" si="13"/>
        <v>0</v>
      </c>
      <c r="AO237" s="193">
        <f t="shared" ca="1" si="14"/>
        <v>-1505.5666666666666</v>
      </c>
      <c r="AP237" s="195" t="str">
        <f t="shared" ca="1" si="15"/>
        <v>Vencida</v>
      </c>
    </row>
    <row r="238" spans="1:42" ht="29.25" customHeight="1" x14ac:dyDescent="0.3">
      <c r="A238" s="147"/>
      <c r="B238" s="141"/>
      <c r="C238" s="141"/>
      <c r="D238" s="141"/>
      <c r="E238" s="141"/>
      <c r="F238" s="141"/>
      <c r="G238" s="141"/>
      <c r="H238" s="141"/>
      <c r="I238" s="148"/>
      <c r="J238" s="148"/>
      <c r="K238" s="148"/>
      <c r="L238" s="148"/>
      <c r="M238" s="148"/>
      <c r="N238" s="148"/>
      <c r="O238" s="141"/>
      <c r="P238" s="141"/>
      <c r="Q238" s="147"/>
      <c r="R238" s="147"/>
      <c r="S238" s="147"/>
      <c r="T238" s="147"/>
      <c r="U238" s="147"/>
      <c r="V238" s="152"/>
      <c r="W238" s="147"/>
      <c r="X238" s="147"/>
      <c r="Y238" s="141"/>
      <c r="Z238" s="141"/>
      <c r="AA238" s="141"/>
      <c r="AB238" s="141"/>
      <c r="AC238" s="141"/>
      <c r="AD238" s="160"/>
      <c r="AE238" s="153"/>
      <c r="AF238" s="153"/>
      <c r="AG238" s="141"/>
      <c r="AH238" s="141"/>
      <c r="AI238" s="141"/>
      <c r="AJ238" s="141"/>
      <c r="AK238" s="147"/>
      <c r="AL238" s="175"/>
      <c r="AM238" s="141" t="str">
        <f t="shared" ca="1" si="12"/>
        <v>Desactualizado</v>
      </c>
      <c r="AN238" s="190">
        <f t="shared" si="13"/>
        <v>0</v>
      </c>
      <c r="AO238" s="193">
        <f t="shared" ca="1" si="14"/>
        <v>-1505.5666666666666</v>
      </c>
      <c r="AP238" s="195" t="str">
        <f t="shared" ca="1" si="15"/>
        <v>Vencida</v>
      </c>
    </row>
    <row r="239" spans="1:42" ht="29.25" customHeight="1" x14ac:dyDescent="0.3">
      <c r="A239" s="147"/>
      <c r="B239" s="141"/>
      <c r="C239" s="141"/>
      <c r="D239" s="141"/>
      <c r="E239" s="141"/>
      <c r="F239" s="141"/>
      <c r="G239" s="141"/>
      <c r="H239" s="141"/>
      <c r="I239" s="148"/>
      <c r="J239" s="148"/>
      <c r="K239" s="148"/>
      <c r="L239" s="148"/>
      <c r="M239" s="148"/>
      <c r="N239" s="148"/>
      <c r="O239" s="141"/>
      <c r="P239" s="141"/>
      <c r="Q239" s="147"/>
      <c r="R239" s="147"/>
      <c r="S239" s="147"/>
      <c r="T239" s="147"/>
      <c r="U239" s="147"/>
      <c r="V239" s="152"/>
      <c r="W239" s="147"/>
      <c r="X239" s="147"/>
      <c r="Y239" s="141"/>
      <c r="Z239" s="141"/>
      <c r="AA239" s="141"/>
      <c r="AB239" s="141"/>
      <c r="AC239" s="141"/>
      <c r="AD239" s="160"/>
      <c r="AE239" s="153"/>
      <c r="AF239" s="153"/>
      <c r="AG239" s="141"/>
      <c r="AH239" s="141"/>
      <c r="AI239" s="141"/>
      <c r="AJ239" s="141"/>
      <c r="AK239" s="147"/>
      <c r="AL239" s="175"/>
      <c r="AM239" s="141" t="str">
        <f t="shared" ca="1" si="12"/>
        <v>Desactualizado</v>
      </c>
      <c r="AN239" s="190">
        <f t="shared" si="13"/>
        <v>0</v>
      </c>
      <c r="AO239" s="193">
        <f t="shared" ca="1" si="14"/>
        <v>-1505.5666666666666</v>
      </c>
      <c r="AP239" s="195" t="str">
        <f t="shared" ca="1" si="15"/>
        <v>Vencida</v>
      </c>
    </row>
    <row r="240" spans="1:42" ht="29.25" customHeight="1" x14ac:dyDescent="0.3">
      <c r="A240" s="147"/>
      <c r="B240" s="141"/>
      <c r="C240" s="141"/>
      <c r="D240" s="141"/>
      <c r="E240" s="141"/>
      <c r="F240" s="141"/>
      <c r="G240" s="141"/>
      <c r="H240" s="141"/>
      <c r="I240" s="148"/>
      <c r="J240" s="148"/>
      <c r="K240" s="148"/>
      <c r="L240" s="148"/>
      <c r="M240" s="148"/>
      <c r="N240" s="148"/>
      <c r="O240" s="141"/>
      <c r="P240" s="141"/>
      <c r="Q240" s="147"/>
      <c r="R240" s="147"/>
      <c r="S240" s="147"/>
      <c r="T240" s="147"/>
      <c r="U240" s="147"/>
      <c r="V240" s="152"/>
      <c r="W240" s="147"/>
      <c r="X240" s="147"/>
      <c r="Y240" s="141"/>
      <c r="Z240" s="141"/>
      <c r="AA240" s="141"/>
      <c r="AB240" s="141"/>
      <c r="AC240" s="141"/>
      <c r="AD240" s="160"/>
      <c r="AE240" s="153"/>
      <c r="AF240" s="153"/>
      <c r="AG240" s="141"/>
      <c r="AH240" s="141"/>
      <c r="AI240" s="141"/>
      <c r="AJ240" s="141"/>
      <c r="AK240" s="147"/>
      <c r="AL240" s="175"/>
      <c r="AM240" s="141" t="str">
        <f t="shared" ca="1" si="12"/>
        <v>Desactualizado</v>
      </c>
      <c r="AN240" s="190">
        <f t="shared" si="13"/>
        <v>0</v>
      </c>
      <c r="AO240" s="193">
        <f t="shared" ca="1" si="14"/>
        <v>-1505.5666666666666</v>
      </c>
      <c r="AP240" s="195" t="str">
        <f t="shared" ca="1" si="15"/>
        <v>Vencida</v>
      </c>
    </row>
    <row r="241" spans="1:42" ht="29.25" customHeight="1" x14ac:dyDescent="0.3">
      <c r="A241" s="147"/>
      <c r="B241" s="141"/>
      <c r="C241" s="141"/>
      <c r="D241" s="141"/>
      <c r="E241" s="141"/>
      <c r="F241" s="141"/>
      <c r="G241" s="141"/>
      <c r="H241" s="141"/>
      <c r="I241" s="148"/>
      <c r="J241" s="148"/>
      <c r="K241" s="148"/>
      <c r="L241" s="148"/>
      <c r="M241" s="148"/>
      <c r="N241" s="148"/>
      <c r="O241" s="141"/>
      <c r="P241" s="141"/>
      <c r="Q241" s="147"/>
      <c r="R241" s="147"/>
      <c r="S241" s="147"/>
      <c r="T241" s="147"/>
      <c r="U241" s="147"/>
      <c r="V241" s="152"/>
      <c r="W241" s="147"/>
      <c r="X241" s="147"/>
      <c r="Y241" s="141"/>
      <c r="Z241" s="141"/>
      <c r="AA241" s="141"/>
      <c r="AB241" s="141"/>
      <c r="AC241" s="141"/>
      <c r="AD241" s="160"/>
      <c r="AE241" s="153"/>
      <c r="AF241" s="153"/>
      <c r="AG241" s="141"/>
      <c r="AH241" s="141"/>
      <c r="AI241" s="141"/>
      <c r="AJ241" s="141"/>
      <c r="AK241" s="147"/>
      <c r="AL241" s="175"/>
      <c r="AM241" s="141" t="str">
        <f t="shared" ca="1" si="12"/>
        <v>Desactualizado</v>
      </c>
      <c r="AN241" s="190">
        <f t="shared" si="13"/>
        <v>0</v>
      </c>
      <c r="AO241" s="193">
        <f t="shared" ca="1" si="14"/>
        <v>-1505.5666666666666</v>
      </c>
      <c r="AP241" s="195" t="str">
        <f t="shared" ca="1" si="15"/>
        <v>Vencida</v>
      </c>
    </row>
    <row r="242" spans="1:42" ht="29.25" customHeight="1" x14ac:dyDescent="0.3">
      <c r="A242" s="147"/>
      <c r="B242" s="141"/>
      <c r="C242" s="141"/>
      <c r="D242" s="141"/>
      <c r="E242" s="141"/>
      <c r="F242" s="141"/>
      <c r="G242" s="141"/>
      <c r="H242" s="141"/>
      <c r="I242" s="148"/>
      <c r="J242" s="148"/>
      <c r="K242" s="148"/>
      <c r="L242" s="148"/>
      <c r="M242" s="148"/>
      <c r="N242" s="148"/>
      <c r="O242" s="141"/>
      <c r="P242" s="141"/>
      <c r="Q242" s="147"/>
      <c r="R242" s="147"/>
      <c r="S242" s="147"/>
      <c r="T242" s="147"/>
      <c r="U242" s="147"/>
      <c r="V242" s="152"/>
      <c r="W242" s="147"/>
      <c r="X242" s="147"/>
      <c r="Y242" s="141"/>
      <c r="Z242" s="141"/>
      <c r="AA242" s="141"/>
      <c r="AB242" s="141"/>
      <c r="AC242" s="141"/>
      <c r="AD242" s="160"/>
      <c r="AE242" s="153"/>
      <c r="AF242" s="153"/>
      <c r="AG242" s="141"/>
      <c r="AH242" s="141"/>
      <c r="AI242" s="141"/>
      <c r="AJ242" s="141"/>
      <c r="AK242" s="147"/>
      <c r="AL242" s="175"/>
      <c r="AM242" s="141" t="str">
        <f t="shared" ca="1" si="12"/>
        <v>Desactualizado</v>
      </c>
      <c r="AN242" s="190">
        <f t="shared" si="13"/>
        <v>0</v>
      </c>
      <c r="AO242" s="193">
        <f t="shared" ca="1" si="14"/>
        <v>-1505.5666666666666</v>
      </c>
      <c r="AP242" s="195" t="str">
        <f t="shared" ca="1" si="15"/>
        <v>Vencida</v>
      </c>
    </row>
    <row r="243" spans="1:42" ht="29.25" customHeight="1" x14ac:dyDescent="0.3">
      <c r="A243" s="147"/>
      <c r="B243" s="141"/>
      <c r="C243" s="141"/>
      <c r="D243" s="141"/>
      <c r="E243" s="141"/>
      <c r="F243" s="141"/>
      <c r="G243" s="141"/>
      <c r="H243" s="141"/>
      <c r="I243" s="148"/>
      <c r="J243" s="148"/>
      <c r="K243" s="148"/>
      <c r="L243" s="148"/>
      <c r="M243" s="148"/>
      <c r="N243" s="148"/>
      <c r="O243" s="141"/>
      <c r="P243" s="141"/>
      <c r="Q243" s="147"/>
      <c r="R243" s="147"/>
      <c r="S243" s="147"/>
      <c r="T243" s="147"/>
      <c r="U243" s="147"/>
      <c r="V243" s="152"/>
      <c r="W243" s="147"/>
      <c r="X243" s="147"/>
      <c r="Y243" s="141"/>
      <c r="Z243" s="141"/>
      <c r="AA243" s="141"/>
      <c r="AB243" s="141"/>
      <c r="AC243" s="141"/>
      <c r="AD243" s="160"/>
      <c r="AE243" s="153"/>
      <c r="AF243" s="153"/>
      <c r="AG243" s="141"/>
      <c r="AH243" s="141"/>
      <c r="AI243" s="141"/>
      <c r="AJ243" s="141"/>
      <c r="AK243" s="147"/>
      <c r="AL243" s="175"/>
      <c r="AM243" s="141" t="str">
        <f t="shared" ca="1" si="12"/>
        <v>Desactualizado</v>
      </c>
      <c r="AN243" s="190">
        <f t="shared" si="13"/>
        <v>0</v>
      </c>
      <c r="AO243" s="193">
        <f t="shared" ca="1" si="14"/>
        <v>-1505.5666666666666</v>
      </c>
      <c r="AP243" s="195" t="str">
        <f t="shared" ca="1" si="15"/>
        <v>Vencida</v>
      </c>
    </row>
    <row r="244" spans="1:42" ht="29.25" customHeight="1" x14ac:dyDescent="0.3">
      <c r="A244" s="147"/>
      <c r="B244" s="141"/>
      <c r="C244" s="141"/>
      <c r="D244" s="141"/>
      <c r="E244" s="141"/>
      <c r="F244" s="141"/>
      <c r="G244" s="141"/>
      <c r="H244" s="141"/>
      <c r="I244" s="148"/>
      <c r="J244" s="148"/>
      <c r="K244" s="148"/>
      <c r="L244" s="148"/>
      <c r="M244" s="148"/>
      <c r="N244" s="148"/>
      <c r="O244" s="141"/>
      <c r="P244" s="141"/>
      <c r="Q244" s="147"/>
      <c r="R244" s="147"/>
      <c r="S244" s="147"/>
      <c r="T244" s="147"/>
      <c r="U244" s="147"/>
      <c r="V244" s="152"/>
      <c r="W244" s="147"/>
      <c r="X244" s="147"/>
      <c r="Y244" s="141"/>
      <c r="Z244" s="141"/>
      <c r="AA244" s="141"/>
      <c r="AB244" s="141"/>
      <c r="AC244" s="141"/>
      <c r="AD244" s="160"/>
      <c r="AE244" s="153"/>
      <c r="AF244" s="153"/>
      <c r="AG244" s="141"/>
      <c r="AH244" s="141"/>
      <c r="AI244" s="141"/>
      <c r="AJ244" s="141"/>
      <c r="AK244" s="147"/>
      <c r="AL244" s="175"/>
      <c r="AM244" s="141" t="str">
        <f t="shared" ca="1" si="12"/>
        <v>Desactualizado</v>
      </c>
      <c r="AN244" s="190">
        <f t="shared" si="13"/>
        <v>0</v>
      </c>
      <c r="AO244" s="193">
        <f t="shared" ca="1" si="14"/>
        <v>-1505.5666666666666</v>
      </c>
      <c r="AP244" s="195" t="str">
        <f t="shared" ca="1" si="15"/>
        <v>Vencida</v>
      </c>
    </row>
    <row r="245" spans="1:42" ht="29.25" customHeight="1" x14ac:dyDescent="0.3">
      <c r="A245" s="147"/>
      <c r="B245" s="141"/>
      <c r="C245" s="141"/>
      <c r="D245" s="141"/>
      <c r="E245" s="141"/>
      <c r="F245" s="141"/>
      <c r="G245" s="141"/>
      <c r="H245" s="141"/>
      <c r="I245" s="148"/>
      <c r="J245" s="148"/>
      <c r="K245" s="148"/>
      <c r="L245" s="148"/>
      <c r="M245" s="148"/>
      <c r="N245" s="148"/>
      <c r="O245" s="141"/>
      <c r="P245" s="141"/>
      <c r="Q245" s="147"/>
      <c r="R245" s="147"/>
      <c r="S245" s="147"/>
      <c r="T245" s="147"/>
      <c r="U245" s="147"/>
      <c r="V245" s="152"/>
      <c r="W245" s="147"/>
      <c r="X245" s="147"/>
      <c r="Y245" s="141"/>
      <c r="Z245" s="141"/>
      <c r="AA245" s="141"/>
      <c r="AB245" s="141"/>
      <c r="AC245" s="141"/>
      <c r="AD245" s="160"/>
      <c r="AE245" s="153"/>
      <c r="AF245" s="153"/>
      <c r="AG245" s="141"/>
      <c r="AH245" s="141"/>
      <c r="AI245" s="141"/>
      <c r="AJ245" s="141"/>
      <c r="AK245" s="147"/>
      <c r="AL245" s="175"/>
      <c r="AM245" s="141" t="str">
        <f t="shared" ca="1" si="12"/>
        <v>Desactualizado</v>
      </c>
      <c r="AN245" s="190">
        <f t="shared" si="13"/>
        <v>0</v>
      </c>
      <c r="AO245" s="193">
        <f t="shared" ca="1" si="14"/>
        <v>-1505.5666666666666</v>
      </c>
      <c r="AP245" s="195" t="str">
        <f t="shared" ca="1" si="15"/>
        <v>Vencida</v>
      </c>
    </row>
    <row r="246" spans="1:42" ht="29.25" customHeight="1" x14ac:dyDescent="0.3">
      <c r="A246" s="147"/>
      <c r="B246" s="141"/>
      <c r="C246" s="141"/>
      <c r="D246" s="141"/>
      <c r="E246" s="141"/>
      <c r="F246" s="141"/>
      <c r="G246" s="141"/>
      <c r="H246" s="141"/>
      <c r="I246" s="148"/>
      <c r="J246" s="148"/>
      <c r="K246" s="148"/>
      <c r="L246" s="148"/>
      <c r="M246" s="148"/>
      <c r="N246" s="148"/>
      <c r="O246" s="141"/>
      <c r="P246" s="141"/>
      <c r="Q246" s="147"/>
      <c r="R246" s="147"/>
      <c r="S246" s="147"/>
      <c r="T246" s="147"/>
      <c r="U246" s="147"/>
      <c r="V246" s="152"/>
      <c r="W246" s="147"/>
      <c r="X246" s="147"/>
      <c r="Y246" s="141"/>
      <c r="Z246" s="141"/>
      <c r="AA246" s="141"/>
      <c r="AB246" s="141"/>
      <c r="AC246" s="141"/>
      <c r="AD246" s="160"/>
      <c r="AE246" s="153"/>
      <c r="AF246" s="153"/>
      <c r="AG246" s="141"/>
      <c r="AH246" s="141"/>
      <c r="AI246" s="141"/>
      <c r="AJ246" s="141"/>
      <c r="AK246" s="147"/>
      <c r="AL246" s="175"/>
      <c r="AM246" s="141" t="str">
        <f t="shared" ca="1" si="12"/>
        <v>Desactualizado</v>
      </c>
      <c r="AN246" s="190">
        <f t="shared" si="13"/>
        <v>0</v>
      </c>
      <c r="AO246" s="193">
        <f t="shared" ca="1" si="14"/>
        <v>-1505.5666666666666</v>
      </c>
      <c r="AP246" s="195" t="str">
        <f t="shared" ca="1" si="15"/>
        <v>Vencida</v>
      </c>
    </row>
    <row r="247" spans="1:42" ht="29.25" customHeight="1" x14ac:dyDescent="0.3">
      <c r="A247" s="147"/>
      <c r="B247" s="141"/>
      <c r="C247" s="141"/>
      <c r="D247" s="141"/>
      <c r="E247" s="141"/>
      <c r="F247" s="141"/>
      <c r="G247" s="141"/>
      <c r="H247" s="141"/>
      <c r="I247" s="148"/>
      <c r="J247" s="148"/>
      <c r="K247" s="148"/>
      <c r="L247" s="148"/>
      <c r="M247" s="148"/>
      <c r="N247" s="148"/>
      <c r="O247" s="141"/>
      <c r="P247" s="141"/>
      <c r="Q247" s="147"/>
      <c r="R247" s="147"/>
      <c r="S247" s="147"/>
      <c r="T247" s="147"/>
      <c r="U247" s="147"/>
      <c r="V247" s="152"/>
      <c r="W247" s="147"/>
      <c r="X247" s="147"/>
      <c r="Y247" s="141"/>
      <c r="Z247" s="141"/>
      <c r="AA247" s="141"/>
      <c r="AB247" s="141"/>
      <c r="AC247" s="141"/>
      <c r="AD247" s="160"/>
      <c r="AE247" s="153"/>
      <c r="AF247" s="153"/>
      <c r="AG247" s="141"/>
      <c r="AH247" s="141"/>
      <c r="AI247" s="141"/>
      <c r="AJ247" s="141"/>
      <c r="AK247" s="147"/>
      <c r="AL247" s="175"/>
      <c r="AM247" s="141" t="str">
        <f t="shared" ca="1" si="12"/>
        <v>Desactualizado</v>
      </c>
      <c r="AN247" s="190">
        <f t="shared" si="13"/>
        <v>0</v>
      </c>
      <c r="AO247" s="193">
        <f t="shared" ca="1" si="14"/>
        <v>-1505.5666666666666</v>
      </c>
      <c r="AP247" s="195" t="str">
        <f t="shared" ca="1" si="15"/>
        <v>Vencida</v>
      </c>
    </row>
    <row r="248" spans="1:42" ht="29.25" customHeight="1" x14ac:dyDescent="0.3">
      <c r="A248" s="147"/>
      <c r="B248" s="141"/>
      <c r="C248" s="141"/>
      <c r="D248" s="141"/>
      <c r="E248" s="141"/>
      <c r="F248" s="141"/>
      <c r="G248" s="141"/>
      <c r="H248" s="141"/>
      <c r="I248" s="148"/>
      <c r="J248" s="148"/>
      <c r="K248" s="148"/>
      <c r="L248" s="148"/>
      <c r="M248" s="148"/>
      <c r="N248" s="148"/>
      <c r="O248" s="141"/>
      <c r="P248" s="141"/>
      <c r="Q248" s="147"/>
      <c r="R248" s="147"/>
      <c r="S248" s="147"/>
      <c r="T248" s="147"/>
      <c r="U248" s="147"/>
      <c r="V248" s="152"/>
      <c r="W248" s="147"/>
      <c r="X248" s="147"/>
      <c r="Y248" s="141"/>
      <c r="Z248" s="141"/>
      <c r="AA248" s="141"/>
      <c r="AB248" s="141"/>
      <c r="AC248" s="141"/>
      <c r="AD248" s="160"/>
      <c r="AE248" s="153"/>
      <c r="AF248" s="153"/>
      <c r="AG248" s="141"/>
      <c r="AH248" s="141"/>
      <c r="AI248" s="141"/>
      <c r="AJ248" s="141"/>
      <c r="AK248" s="147"/>
      <c r="AL248" s="175"/>
      <c r="AM248" s="141" t="str">
        <f t="shared" ca="1" si="12"/>
        <v>Desactualizado</v>
      </c>
      <c r="AN248" s="190">
        <f t="shared" si="13"/>
        <v>0</v>
      </c>
      <c r="AO248" s="193">
        <f t="shared" ca="1" si="14"/>
        <v>-1505.5666666666666</v>
      </c>
      <c r="AP248" s="195" t="str">
        <f t="shared" ca="1" si="15"/>
        <v>Vencida</v>
      </c>
    </row>
    <row r="249" spans="1:42" ht="29.25" customHeight="1" x14ac:dyDescent="0.3">
      <c r="A249" s="147"/>
      <c r="B249" s="141"/>
      <c r="C249" s="141"/>
      <c r="D249" s="141"/>
      <c r="E249" s="141"/>
      <c r="F249" s="141"/>
      <c r="G249" s="141"/>
      <c r="H249" s="141"/>
      <c r="I249" s="148"/>
      <c r="J249" s="148"/>
      <c r="K249" s="148"/>
      <c r="L249" s="148"/>
      <c r="M249" s="148"/>
      <c r="N249" s="148"/>
      <c r="O249" s="141"/>
      <c r="P249" s="141"/>
      <c r="Q249" s="147"/>
      <c r="R249" s="147"/>
      <c r="S249" s="147"/>
      <c r="T249" s="147"/>
      <c r="U249" s="147"/>
      <c r="V249" s="152"/>
      <c r="W249" s="147"/>
      <c r="X249" s="147"/>
      <c r="Y249" s="141"/>
      <c r="Z249" s="141"/>
      <c r="AA249" s="141"/>
      <c r="AB249" s="141"/>
      <c r="AC249" s="141"/>
      <c r="AD249" s="160"/>
      <c r="AE249" s="153"/>
      <c r="AF249" s="153"/>
      <c r="AG249" s="141"/>
      <c r="AH249" s="141"/>
      <c r="AI249" s="141"/>
      <c r="AJ249" s="141"/>
      <c r="AK249" s="147"/>
      <c r="AL249" s="175"/>
      <c r="AM249" s="141" t="str">
        <f t="shared" ca="1" si="12"/>
        <v>Desactualizado</v>
      </c>
      <c r="AN249" s="190">
        <f t="shared" si="13"/>
        <v>0</v>
      </c>
      <c r="AO249" s="193">
        <f t="shared" ca="1" si="14"/>
        <v>-1505.5666666666666</v>
      </c>
      <c r="AP249" s="195" t="str">
        <f t="shared" ca="1" si="15"/>
        <v>Vencida</v>
      </c>
    </row>
    <row r="250" spans="1:42" ht="29.25" customHeight="1" x14ac:dyDescent="0.3">
      <c r="A250" s="147"/>
      <c r="B250" s="141"/>
      <c r="C250" s="141"/>
      <c r="D250" s="141"/>
      <c r="E250" s="141"/>
      <c r="F250" s="141"/>
      <c r="G250" s="141"/>
      <c r="H250" s="141"/>
      <c r="I250" s="148"/>
      <c r="J250" s="148"/>
      <c r="K250" s="148"/>
      <c r="L250" s="148"/>
      <c r="M250" s="148"/>
      <c r="N250" s="148"/>
      <c r="O250" s="141"/>
      <c r="P250" s="141"/>
      <c r="Q250" s="147"/>
      <c r="R250" s="147"/>
      <c r="S250" s="147"/>
      <c r="T250" s="147"/>
      <c r="U250" s="147"/>
      <c r="V250" s="152"/>
      <c r="W250" s="147"/>
      <c r="X250" s="147"/>
      <c r="Y250" s="141"/>
      <c r="Z250" s="141"/>
      <c r="AA250" s="141"/>
      <c r="AB250" s="141"/>
      <c r="AC250" s="141"/>
      <c r="AD250" s="160"/>
      <c r="AE250" s="153"/>
      <c r="AF250" s="153"/>
      <c r="AG250" s="141"/>
      <c r="AH250" s="141"/>
      <c r="AI250" s="141"/>
      <c r="AJ250" s="141"/>
      <c r="AK250" s="147"/>
      <c r="AL250" s="147"/>
      <c r="AM250" s="141" t="str">
        <f t="shared" ca="1" si="12"/>
        <v>Desactualizado</v>
      </c>
      <c r="AN250" s="190">
        <f t="shared" si="13"/>
        <v>0</v>
      </c>
      <c r="AO250" s="193">
        <f t="shared" ca="1" si="14"/>
        <v>-1505.5666666666666</v>
      </c>
      <c r="AP250" s="195" t="str">
        <f t="shared" ca="1" si="15"/>
        <v>Vencida</v>
      </c>
    </row>
    <row r="251" spans="1:42" ht="29.25" customHeight="1" x14ac:dyDescent="0.3">
      <c r="A251" s="147"/>
      <c r="B251" s="148"/>
      <c r="C251" s="148"/>
      <c r="D251" s="148"/>
      <c r="E251" s="141"/>
      <c r="F251" s="141"/>
      <c r="G251" s="141"/>
      <c r="H251" s="141"/>
      <c r="I251" s="162"/>
      <c r="J251" s="162"/>
      <c r="K251" s="148"/>
      <c r="L251" s="162"/>
      <c r="M251" s="162"/>
      <c r="N251" s="162"/>
      <c r="O251" s="141"/>
      <c r="P251" s="141"/>
      <c r="Q251" s="147"/>
      <c r="R251" s="147"/>
      <c r="S251" s="147"/>
      <c r="T251" s="147"/>
      <c r="U251" s="147"/>
      <c r="V251" s="152"/>
      <c r="W251" s="147"/>
      <c r="X251" s="147"/>
      <c r="Y251" s="141"/>
      <c r="Z251" s="141"/>
      <c r="AA251" s="141"/>
      <c r="AB251" s="141"/>
      <c r="AC251" s="141"/>
      <c r="AD251" s="160"/>
      <c r="AE251" s="153"/>
      <c r="AF251" s="153"/>
      <c r="AG251" s="141"/>
      <c r="AH251" s="141"/>
      <c r="AI251" s="141"/>
      <c r="AJ251" s="141"/>
      <c r="AK251" s="147"/>
      <c r="AL251" s="147"/>
      <c r="AM251" s="141" t="str">
        <f t="shared" ca="1" si="12"/>
        <v>Desactualizado</v>
      </c>
      <c r="AN251" s="190">
        <f t="shared" si="13"/>
        <v>0</v>
      </c>
      <c r="AO251" s="193">
        <f t="shared" ca="1" si="14"/>
        <v>-1505.5666666666666</v>
      </c>
      <c r="AP251" s="195" t="str">
        <f t="shared" ca="1" si="15"/>
        <v>Vencida</v>
      </c>
    </row>
    <row r="252" spans="1:42" ht="29.25" customHeight="1" x14ac:dyDescent="0.3">
      <c r="A252" s="147"/>
      <c r="B252" s="141"/>
      <c r="C252" s="141"/>
      <c r="D252" s="141"/>
      <c r="E252" s="141"/>
      <c r="F252" s="141"/>
      <c r="G252" s="141"/>
      <c r="H252" s="141"/>
      <c r="I252" s="148"/>
      <c r="J252" s="148"/>
      <c r="K252" s="148"/>
      <c r="L252" s="148"/>
      <c r="M252" s="148"/>
      <c r="N252" s="148"/>
      <c r="O252" s="141"/>
      <c r="P252" s="141"/>
      <c r="Q252" s="147"/>
      <c r="R252" s="147"/>
      <c r="S252" s="147"/>
      <c r="T252" s="147"/>
      <c r="U252" s="147"/>
      <c r="V252" s="152"/>
      <c r="W252" s="147"/>
      <c r="X252" s="147"/>
      <c r="Y252" s="141"/>
      <c r="Z252" s="141"/>
      <c r="AA252" s="141"/>
      <c r="AB252" s="141"/>
      <c r="AC252" s="141"/>
      <c r="AD252" s="160"/>
      <c r="AE252" s="153"/>
      <c r="AF252" s="153"/>
      <c r="AG252" s="141"/>
      <c r="AH252" s="141"/>
      <c r="AI252" s="141"/>
      <c r="AJ252" s="141"/>
      <c r="AK252" s="147"/>
      <c r="AL252" s="147"/>
      <c r="AM252" s="141" t="str">
        <f t="shared" ca="1" si="12"/>
        <v>Desactualizado</v>
      </c>
      <c r="AN252" s="190">
        <f t="shared" si="13"/>
        <v>0</v>
      </c>
      <c r="AO252" s="193">
        <f t="shared" ca="1" si="14"/>
        <v>-1505.5666666666666</v>
      </c>
      <c r="AP252" s="195" t="str">
        <f t="shared" ca="1" si="15"/>
        <v>Vencida</v>
      </c>
    </row>
    <row r="253" spans="1:42" ht="29.25" customHeight="1" x14ac:dyDescent="0.3">
      <c r="A253" s="147"/>
      <c r="B253" s="148"/>
      <c r="C253" s="148"/>
      <c r="D253" s="148"/>
      <c r="E253" s="141"/>
      <c r="F253" s="141"/>
      <c r="G253" s="141"/>
      <c r="H253" s="141"/>
      <c r="I253" s="148"/>
      <c r="J253" s="148"/>
      <c r="K253" s="148"/>
      <c r="L253" s="148"/>
      <c r="M253" s="148"/>
      <c r="N253" s="148"/>
      <c r="O253" s="141"/>
      <c r="P253" s="141"/>
      <c r="Q253" s="147"/>
      <c r="R253" s="147"/>
      <c r="S253" s="147"/>
      <c r="T253" s="147"/>
      <c r="U253" s="147"/>
      <c r="V253" s="152"/>
      <c r="W253" s="147"/>
      <c r="X253" s="147"/>
      <c r="Y253" s="141"/>
      <c r="Z253" s="141"/>
      <c r="AA253" s="141"/>
      <c r="AB253" s="141"/>
      <c r="AC253" s="141"/>
      <c r="AD253" s="160"/>
      <c r="AE253" s="153"/>
      <c r="AF253" s="153"/>
      <c r="AG253" s="141"/>
      <c r="AH253" s="141"/>
      <c r="AI253" s="141"/>
      <c r="AJ253" s="141"/>
      <c r="AK253" s="147"/>
      <c r="AL253" s="147"/>
      <c r="AM253" s="141" t="str">
        <f t="shared" ca="1" si="12"/>
        <v>Desactualizado</v>
      </c>
      <c r="AN253" s="190">
        <f t="shared" si="13"/>
        <v>0</v>
      </c>
      <c r="AO253" s="193">
        <f t="shared" ca="1" si="14"/>
        <v>-1505.5666666666666</v>
      </c>
      <c r="AP253" s="195" t="str">
        <f t="shared" ca="1" si="15"/>
        <v>Vencida</v>
      </c>
    </row>
    <row r="254" spans="1:42" ht="29.25" customHeight="1" x14ac:dyDescent="0.3">
      <c r="A254" s="147"/>
      <c r="B254" s="141"/>
      <c r="C254" s="141"/>
      <c r="D254" s="141"/>
      <c r="E254" s="141"/>
      <c r="F254" s="141"/>
      <c r="G254" s="141"/>
      <c r="H254" s="141"/>
      <c r="I254" s="148"/>
      <c r="J254" s="148"/>
      <c r="K254" s="148"/>
      <c r="L254" s="148"/>
      <c r="M254" s="148"/>
      <c r="N254" s="148"/>
      <c r="O254" s="141"/>
      <c r="P254" s="141"/>
      <c r="Q254" s="147"/>
      <c r="R254" s="147"/>
      <c r="S254" s="147"/>
      <c r="T254" s="147"/>
      <c r="U254" s="147"/>
      <c r="V254" s="152"/>
      <c r="W254" s="147"/>
      <c r="X254" s="147"/>
      <c r="Y254" s="141"/>
      <c r="Z254" s="141"/>
      <c r="AA254" s="141"/>
      <c r="AB254" s="141"/>
      <c r="AC254" s="141"/>
      <c r="AD254" s="160"/>
      <c r="AE254" s="153"/>
      <c r="AF254" s="153"/>
      <c r="AG254" s="141"/>
      <c r="AH254" s="141"/>
      <c r="AI254" s="141"/>
      <c r="AJ254" s="141"/>
      <c r="AK254" s="147"/>
      <c r="AL254" s="147"/>
      <c r="AM254" s="141" t="str">
        <f t="shared" ca="1" si="12"/>
        <v>Desactualizado</v>
      </c>
      <c r="AN254" s="190">
        <f t="shared" si="13"/>
        <v>0</v>
      </c>
      <c r="AO254" s="193">
        <f t="shared" ca="1" si="14"/>
        <v>-1505.5666666666666</v>
      </c>
      <c r="AP254" s="195" t="str">
        <f t="shared" ca="1" si="15"/>
        <v>Vencida</v>
      </c>
    </row>
    <row r="255" spans="1:42" ht="29.25" customHeight="1" x14ac:dyDescent="0.3">
      <c r="A255" s="147"/>
      <c r="B255" s="141"/>
      <c r="C255" s="141"/>
      <c r="D255" s="141"/>
      <c r="E255" s="141"/>
      <c r="F255" s="141"/>
      <c r="G255" s="141"/>
      <c r="H255" s="141"/>
      <c r="I255" s="148"/>
      <c r="J255" s="148"/>
      <c r="K255" s="148"/>
      <c r="L255" s="148"/>
      <c r="M255" s="148"/>
      <c r="N255" s="148"/>
      <c r="O255" s="141"/>
      <c r="P255" s="141"/>
      <c r="Q255" s="147"/>
      <c r="R255" s="147"/>
      <c r="S255" s="147"/>
      <c r="T255" s="147"/>
      <c r="U255" s="147"/>
      <c r="V255" s="152"/>
      <c r="W255" s="147"/>
      <c r="X255" s="147"/>
      <c r="Y255" s="141"/>
      <c r="Z255" s="141"/>
      <c r="AA255" s="141"/>
      <c r="AB255" s="141"/>
      <c r="AC255" s="141"/>
      <c r="AD255" s="160"/>
      <c r="AE255" s="153"/>
      <c r="AF255" s="153"/>
      <c r="AG255" s="141"/>
      <c r="AH255" s="141"/>
      <c r="AI255" s="141"/>
      <c r="AJ255" s="141"/>
      <c r="AK255" s="147"/>
      <c r="AL255" s="147"/>
      <c r="AM255" s="141" t="str">
        <f t="shared" ca="1" si="12"/>
        <v>Desactualizado</v>
      </c>
      <c r="AN255" s="190">
        <f t="shared" si="13"/>
        <v>0</v>
      </c>
      <c r="AO255" s="193">
        <f t="shared" ca="1" si="14"/>
        <v>-1505.5666666666666</v>
      </c>
      <c r="AP255" s="195" t="str">
        <f t="shared" ca="1" si="15"/>
        <v>Vencida</v>
      </c>
    </row>
    <row r="256" spans="1:42" ht="29.25" customHeight="1" x14ac:dyDescent="0.3">
      <c r="A256" s="147"/>
      <c r="B256" s="141"/>
      <c r="C256" s="141"/>
      <c r="D256" s="141"/>
      <c r="E256" s="141"/>
      <c r="F256" s="141"/>
      <c r="G256" s="141"/>
      <c r="H256" s="141"/>
      <c r="I256" s="148"/>
      <c r="J256" s="148"/>
      <c r="K256" s="148"/>
      <c r="L256" s="148"/>
      <c r="M256" s="148"/>
      <c r="N256" s="148"/>
      <c r="O256" s="141"/>
      <c r="P256" s="141"/>
      <c r="Q256" s="147"/>
      <c r="R256" s="147"/>
      <c r="S256" s="147"/>
      <c r="T256" s="147"/>
      <c r="U256" s="147"/>
      <c r="V256" s="152"/>
      <c r="W256" s="147"/>
      <c r="X256" s="147"/>
      <c r="Y256" s="141"/>
      <c r="Z256" s="141"/>
      <c r="AA256" s="141"/>
      <c r="AB256" s="141"/>
      <c r="AC256" s="141"/>
      <c r="AD256" s="160"/>
      <c r="AE256" s="153"/>
      <c r="AF256" s="153"/>
      <c r="AG256" s="141"/>
      <c r="AH256" s="141"/>
      <c r="AI256" s="141"/>
      <c r="AJ256" s="141"/>
      <c r="AK256" s="147"/>
      <c r="AL256" s="147"/>
      <c r="AM256" s="141" t="str">
        <f t="shared" ca="1" si="12"/>
        <v>Desactualizado</v>
      </c>
      <c r="AN256" s="190">
        <f t="shared" si="13"/>
        <v>0</v>
      </c>
      <c r="AO256" s="193">
        <f t="shared" ca="1" si="14"/>
        <v>-1505.5666666666666</v>
      </c>
      <c r="AP256" s="195" t="str">
        <f t="shared" ca="1" si="15"/>
        <v>Vencida</v>
      </c>
    </row>
    <row r="257" spans="1:42" ht="29.25" customHeight="1" x14ac:dyDescent="0.3">
      <c r="A257" s="147"/>
      <c r="B257" s="141"/>
      <c r="C257" s="141"/>
      <c r="D257" s="141"/>
      <c r="E257" s="141"/>
      <c r="F257" s="141"/>
      <c r="G257" s="141"/>
      <c r="H257" s="141"/>
      <c r="I257" s="148"/>
      <c r="J257" s="148"/>
      <c r="K257" s="148"/>
      <c r="L257" s="148"/>
      <c r="M257" s="148"/>
      <c r="N257" s="148"/>
      <c r="O257" s="141"/>
      <c r="P257" s="141"/>
      <c r="Q257" s="147"/>
      <c r="R257" s="147"/>
      <c r="S257" s="147"/>
      <c r="T257" s="147"/>
      <c r="U257" s="147"/>
      <c r="V257" s="152"/>
      <c r="W257" s="147"/>
      <c r="X257" s="147"/>
      <c r="Y257" s="141"/>
      <c r="Z257" s="141"/>
      <c r="AA257" s="141"/>
      <c r="AB257" s="141"/>
      <c r="AC257" s="141"/>
      <c r="AD257" s="160"/>
      <c r="AE257" s="153"/>
      <c r="AF257" s="153"/>
      <c r="AG257" s="141"/>
      <c r="AH257" s="141"/>
      <c r="AI257" s="141"/>
      <c r="AJ257" s="141"/>
      <c r="AK257" s="147"/>
      <c r="AL257" s="147"/>
      <c r="AM257" s="141" t="str">
        <f t="shared" ca="1" si="12"/>
        <v>Desactualizado</v>
      </c>
      <c r="AN257" s="190">
        <f t="shared" si="13"/>
        <v>0</v>
      </c>
      <c r="AO257" s="193">
        <f t="shared" ca="1" si="14"/>
        <v>-1505.5666666666666</v>
      </c>
      <c r="AP257" s="195" t="str">
        <f t="shared" ca="1" si="15"/>
        <v>Vencida</v>
      </c>
    </row>
    <row r="258" spans="1:42" ht="29.25" customHeight="1" x14ac:dyDescent="0.3">
      <c r="A258" s="147"/>
      <c r="B258" s="148"/>
      <c r="C258" s="148"/>
      <c r="D258" s="148"/>
      <c r="E258" s="141"/>
      <c r="F258" s="141"/>
      <c r="G258" s="141"/>
      <c r="H258" s="141"/>
      <c r="I258" s="148"/>
      <c r="J258" s="148"/>
      <c r="K258" s="148"/>
      <c r="L258" s="148"/>
      <c r="M258" s="148"/>
      <c r="N258" s="148"/>
      <c r="O258" s="141"/>
      <c r="P258" s="141"/>
      <c r="Q258" s="147"/>
      <c r="R258" s="147"/>
      <c r="S258" s="147"/>
      <c r="T258" s="147"/>
      <c r="U258" s="147"/>
      <c r="V258" s="152"/>
      <c r="W258" s="147"/>
      <c r="X258" s="147"/>
      <c r="Y258" s="141"/>
      <c r="Z258" s="141"/>
      <c r="AA258" s="141"/>
      <c r="AB258" s="141"/>
      <c r="AC258" s="141"/>
      <c r="AD258" s="160"/>
      <c r="AE258" s="153"/>
      <c r="AF258" s="153"/>
      <c r="AG258" s="141"/>
      <c r="AH258" s="141"/>
      <c r="AI258" s="141"/>
      <c r="AJ258" s="141"/>
      <c r="AK258" s="147"/>
      <c r="AL258" s="147"/>
      <c r="AM258" s="141" t="str">
        <f t="shared" ca="1" si="12"/>
        <v>Desactualizado</v>
      </c>
      <c r="AN258" s="190">
        <f t="shared" si="13"/>
        <v>0</v>
      </c>
      <c r="AO258" s="193">
        <f t="shared" ca="1" si="14"/>
        <v>-1505.5666666666666</v>
      </c>
      <c r="AP258" s="195" t="str">
        <f t="shared" ca="1" si="15"/>
        <v>Vencida</v>
      </c>
    </row>
    <row r="259" spans="1:42" ht="29.25" customHeight="1" x14ac:dyDescent="0.3">
      <c r="A259" s="147"/>
      <c r="B259" s="141"/>
      <c r="C259" s="141"/>
      <c r="D259" s="141"/>
      <c r="E259" s="141"/>
      <c r="F259" s="141"/>
      <c r="G259" s="141"/>
      <c r="H259" s="141"/>
      <c r="I259" s="148"/>
      <c r="J259" s="148"/>
      <c r="K259" s="148"/>
      <c r="L259" s="148"/>
      <c r="M259" s="148"/>
      <c r="N259" s="148"/>
      <c r="O259" s="141"/>
      <c r="P259" s="141"/>
      <c r="Q259" s="147"/>
      <c r="R259" s="147"/>
      <c r="S259" s="147"/>
      <c r="T259" s="147"/>
      <c r="U259" s="147"/>
      <c r="V259" s="152"/>
      <c r="W259" s="147"/>
      <c r="X259" s="147"/>
      <c r="Y259" s="141"/>
      <c r="Z259" s="141"/>
      <c r="AA259" s="141"/>
      <c r="AB259" s="141"/>
      <c r="AC259" s="141"/>
      <c r="AD259" s="160"/>
      <c r="AE259" s="153"/>
      <c r="AF259" s="153"/>
      <c r="AG259" s="141"/>
      <c r="AH259" s="141"/>
      <c r="AI259" s="141"/>
      <c r="AJ259" s="141"/>
      <c r="AK259" s="147"/>
      <c r="AL259" s="147"/>
      <c r="AM259" s="141" t="str">
        <f t="shared" ca="1" si="12"/>
        <v>Desactualizado</v>
      </c>
      <c r="AN259" s="190">
        <f t="shared" si="13"/>
        <v>0</v>
      </c>
      <c r="AO259" s="193">
        <f t="shared" ca="1" si="14"/>
        <v>-1505.5666666666666</v>
      </c>
      <c r="AP259" s="195" t="str">
        <f t="shared" ca="1" si="15"/>
        <v>Vencida</v>
      </c>
    </row>
    <row r="260" spans="1:42" ht="29.25" customHeight="1" x14ac:dyDescent="0.3">
      <c r="A260" s="147"/>
      <c r="B260" s="141"/>
      <c r="C260" s="141"/>
      <c r="D260" s="141"/>
      <c r="E260" s="141"/>
      <c r="F260" s="141"/>
      <c r="G260" s="141"/>
      <c r="H260" s="141"/>
      <c r="I260" s="148"/>
      <c r="J260" s="148"/>
      <c r="K260" s="148"/>
      <c r="L260" s="148"/>
      <c r="M260" s="148"/>
      <c r="N260" s="148"/>
      <c r="O260" s="141"/>
      <c r="P260" s="141"/>
      <c r="Q260" s="147"/>
      <c r="R260" s="147"/>
      <c r="S260" s="147"/>
      <c r="T260" s="147"/>
      <c r="U260" s="147"/>
      <c r="V260" s="152"/>
      <c r="W260" s="147"/>
      <c r="X260" s="147"/>
      <c r="Y260" s="141"/>
      <c r="Z260" s="141"/>
      <c r="AA260" s="141"/>
      <c r="AB260" s="141"/>
      <c r="AC260" s="141"/>
      <c r="AD260" s="160"/>
      <c r="AE260" s="153"/>
      <c r="AF260" s="153"/>
      <c r="AG260" s="141"/>
      <c r="AH260" s="141"/>
      <c r="AI260" s="141"/>
      <c r="AJ260" s="141"/>
      <c r="AK260" s="147"/>
      <c r="AL260" s="147"/>
      <c r="AM260" s="141" t="str">
        <f t="shared" ca="1" si="12"/>
        <v>Desactualizado</v>
      </c>
      <c r="AN260" s="190">
        <f t="shared" si="13"/>
        <v>0</v>
      </c>
      <c r="AO260" s="193">
        <f t="shared" ca="1" si="14"/>
        <v>-1505.5666666666666</v>
      </c>
      <c r="AP260" s="195" t="str">
        <f t="shared" ca="1" si="15"/>
        <v>Vencida</v>
      </c>
    </row>
    <row r="261" spans="1:42" ht="29.25" customHeight="1" x14ac:dyDescent="0.3">
      <c r="A261" s="147"/>
      <c r="B261" s="148"/>
      <c r="C261" s="148"/>
      <c r="D261" s="148"/>
      <c r="E261" s="141"/>
      <c r="F261" s="141"/>
      <c r="G261" s="141"/>
      <c r="H261" s="141"/>
      <c r="I261" s="148"/>
      <c r="J261" s="148"/>
      <c r="K261" s="148"/>
      <c r="L261" s="148"/>
      <c r="M261" s="148"/>
      <c r="N261" s="148"/>
      <c r="O261" s="141"/>
      <c r="P261" s="141"/>
      <c r="Q261" s="147"/>
      <c r="R261" s="147"/>
      <c r="S261" s="147"/>
      <c r="T261" s="147"/>
      <c r="U261" s="147"/>
      <c r="V261" s="152"/>
      <c r="W261" s="147"/>
      <c r="X261" s="147"/>
      <c r="Y261" s="141"/>
      <c r="Z261" s="141"/>
      <c r="AA261" s="141"/>
      <c r="AB261" s="141"/>
      <c r="AC261" s="141"/>
      <c r="AD261" s="160"/>
      <c r="AE261" s="153"/>
      <c r="AF261" s="153"/>
      <c r="AG261" s="141"/>
      <c r="AH261" s="141"/>
      <c r="AI261" s="141"/>
      <c r="AJ261" s="141"/>
      <c r="AK261" s="147"/>
      <c r="AL261" s="147"/>
      <c r="AM261" s="141" t="str">
        <f t="shared" ca="1" si="12"/>
        <v>Desactualizado</v>
      </c>
      <c r="AN261" s="190">
        <f t="shared" si="13"/>
        <v>0</v>
      </c>
      <c r="AO261" s="193">
        <f t="shared" ca="1" si="14"/>
        <v>-1505.5666666666666</v>
      </c>
      <c r="AP261" s="195" t="str">
        <f t="shared" ca="1" si="15"/>
        <v>Vencida</v>
      </c>
    </row>
    <row r="262" spans="1:42" ht="29.25" customHeight="1" x14ac:dyDescent="0.3">
      <c r="A262" s="147"/>
      <c r="B262" s="141"/>
      <c r="C262" s="141"/>
      <c r="D262" s="141"/>
      <c r="E262" s="141"/>
      <c r="F262" s="141"/>
      <c r="G262" s="141"/>
      <c r="H262" s="141"/>
      <c r="I262" s="148"/>
      <c r="J262" s="148"/>
      <c r="K262" s="148"/>
      <c r="L262" s="148"/>
      <c r="M262" s="148"/>
      <c r="N262" s="148"/>
      <c r="O262" s="141"/>
      <c r="P262" s="141"/>
      <c r="Q262" s="147"/>
      <c r="R262" s="147"/>
      <c r="S262" s="147"/>
      <c r="T262" s="147"/>
      <c r="U262" s="147"/>
      <c r="V262" s="152"/>
      <c r="W262" s="147"/>
      <c r="X262" s="147"/>
      <c r="Y262" s="141"/>
      <c r="Z262" s="141"/>
      <c r="AA262" s="141"/>
      <c r="AB262" s="141"/>
      <c r="AC262" s="141"/>
      <c r="AD262" s="160"/>
      <c r="AE262" s="153"/>
      <c r="AF262" s="153"/>
      <c r="AG262" s="141"/>
      <c r="AH262" s="141"/>
      <c r="AI262" s="141"/>
      <c r="AJ262" s="141"/>
      <c r="AK262" s="147"/>
      <c r="AL262" s="147"/>
      <c r="AM262" s="141" t="str">
        <f t="shared" ca="1" si="12"/>
        <v>Desactualizado</v>
      </c>
      <c r="AN262" s="190">
        <f t="shared" si="13"/>
        <v>0</v>
      </c>
      <c r="AO262" s="193">
        <f t="shared" ca="1" si="14"/>
        <v>-1505.5666666666666</v>
      </c>
      <c r="AP262" s="195" t="str">
        <f t="shared" ca="1" si="15"/>
        <v>Vencida</v>
      </c>
    </row>
    <row r="263" spans="1:42" ht="29.25" customHeight="1" x14ac:dyDescent="0.3">
      <c r="A263" s="147"/>
      <c r="B263" s="148"/>
      <c r="C263" s="148"/>
      <c r="D263" s="148"/>
      <c r="E263" s="141"/>
      <c r="F263" s="141"/>
      <c r="G263" s="141"/>
      <c r="H263" s="141"/>
      <c r="I263" s="148"/>
      <c r="J263" s="148"/>
      <c r="K263" s="148"/>
      <c r="L263" s="148"/>
      <c r="M263" s="148"/>
      <c r="N263" s="148"/>
      <c r="O263" s="141"/>
      <c r="P263" s="141"/>
      <c r="Q263" s="147"/>
      <c r="R263" s="147"/>
      <c r="S263" s="147"/>
      <c r="T263" s="147"/>
      <c r="U263" s="147"/>
      <c r="V263" s="152"/>
      <c r="W263" s="147"/>
      <c r="X263" s="147"/>
      <c r="Y263" s="141"/>
      <c r="Z263" s="141"/>
      <c r="AA263" s="141"/>
      <c r="AB263" s="141"/>
      <c r="AC263" s="141"/>
      <c r="AD263" s="160"/>
      <c r="AE263" s="153"/>
      <c r="AF263" s="153"/>
      <c r="AG263" s="141"/>
      <c r="AH263" s="141"/>
      <c r="AI263" s="141"/>
      <c r="AJ263" s="141"/>
      <c r="AK263" s="147"/>
      <c r="AL263" s="147"/>
      <c r="AM263" s="141" t="str">
        <f t="shared" ca="1" si="12"/>
        <v>Desactualizado</v>
      </c>
      <c r="AN263" s="190">
        <f t="shared" si="13"/>
        <v>0</v>
      </c>
      <c r="AO263" s="193">
        <f t="shared" ca="1" si="14"/>
        <v>-1505.5666666666666</v>
      </c>
      <c r="AP263" s="195" t="str">
        <f t="shared" ca="1" si="15"/>
        <v>Vencida</v>
      </c>
    </row>
    <row r="264" spans="1:42" ht="29.25" customHeight="1" x14ac:dyDescent="0.3">
      <c r="A264" s="147"/>
      <c r="B264" s="148"/>
      <c r="C264" s="148"/>
      <c r="D264" s="148"/>
      <c r="E264" s="141"/>
      <c r="F264" s="141"/>
      <c r="G264" s="141"/>
      <c r="H264" s="141"/>
      <c r="I264" s="162"/>
      <c r="J264" s="162"/>
      <c r="K264" s="148"/>
      <c r="L264" s="162"/>
      <c r="M264" s="162"/>
      <c r="N264" s="162"/>
      <c r="O264" s="141"/>
      <c r="P264" s="141"/>
      <c r="Q264" s="147"/>
      <c r="R264" s="147"/>
      <c r="S264" s="147"/>
      <c r="T264" s="147"/>
      <c r="U264" s="147"/>
      <c r="V264" s="152"/>
      <c r="W264" s="147"/>
      <c r="X264" s="147"/>
      <c r="Y264" s="141"/>
      <c r="Z264" s="141"/>
      <c r="AA264" s="141"/>
      <c r="AB264" s="141"/>
      <c r="AC264" s="141"/>
      <c r="AD264" s="160"/>
      <c r="AE264" s="153"/>
      <c r="AF264" s="153"/>
      <c r="AG264" s="141"/>
      <c r="AH264" s="141"/>
      <c r="AI264" s="141"/>
      <c r="AJ264" s="141"/>
      <c r="AK264" s="147"/>
      <c r="AL264" s="147"/>
      <c r="AM264" s="141" t="str">
        <f t="shared" ref="AM264:AM271" ca="1" si="16">IF(((TODAY()-AL264)/365)&lt;=5,"Actualizado","Desactualizado")</f>
        <v>Desactualizado</v>
      </c>
      <c r="AN264" s="190">
        <f t="shared" si="13"/>
        <v>0</v>
      </c>
      <c r="AO264" s="193">
        <f t="shared" ca="1" si="14"/>
        <v>-1505.5666666666666</v>
      </c>
      <c r="AP264" s="195" t="str">
        <f t="shared" ca="1" si="15"/>
        <v>Vencida</v>
      </c>
    </row>
    <row r="265" spans="1:42" ht="29.25" customHeight="1" x14ac:dyDescent="0.3">
      <c r="A265" s="147"/>
      <c r="B265" s="141"/>
      <c r="C265" s="141"/>
      <c r="D265" s="141"/>
      <c r="E265" s="141"/>
      <c r="F265" s="141"/>
      <c r="G265" s="141"/>
      <c r="H265" s="141"/>
      <c r="I265" s="162"/>
      <c r="J265" s="148"/>
      <c r="K265" s="148"/>
      <c r="L265" s="148"/>
      <c r="M265" s="148"/>
      <c r="N265" s="148"/>
      <c r="O265" s="141"/>
      <c r="P265" s="141"/>
      <c r="Q265" s="147"/>
      <c r="R265" s="147"/>
      <c r="S265" s="147"/>
      <c r="T265" s="147"/>
      <c r="U265" s="147"/>
      <c r="V265" s="152"/>
      <c r="W265" s="147"/>
      <c r="X265" s="147"/>
      <c r="Y265" s="141"/>
      <c r="Z265" s="141"/>
      <c r="AA265" s="141"/>
      <c r="AB265" s="141"/>
      <c r="AC265" s="141"/>
      <c r="AD265" s="160"/>
      <c r="AE265" s="153"/>
      <c r="AF265" s="153"/>
      <c r="AG265" s="141"/>
      <c r="AH265" s="141"/>
      <c r="AI265" s="141"/>
      <c r="AJ265" s="141"/>
      <c r="AK265" s="147"/>
      <c r="AL265" s="147"/>
      <c r="AM265" s="141" t="str">
        <f t="shared" ca="1" si="16"/>
        <v>Desactualizado</v>
      </c>
      <c r="AN265" s="190">
        <f t="shared" ref="AN265:AN277" si="17">+M265</f>
        <v>0</v>
      </c>
      <c r="AO265" s="193">
        <f t="shared" ref="AO265:AO277" ca="1" si="18">(AN265-TODAY())/30</f>
        <v>-1505.5666666666666</v>
      </c>
      <c r="AP265" s="195" t="str">
        <f t="shared" ca="1" si="15"/>
        <v>Vencida</v>
      </c>
    </row>
    <row r="266" spans="1:42" ht="29.25" customHeight="1" x14ac:dyDescent="0.3">
      <c r="A266" s="147"/>
      <c r="B266" s="141"/>
      <c r="C266" s="141"/>
      <c r="D266" s="141"/>
      <c r="E266" s="147"/>
      <c r="F266" s="147"/>
      <c r="G266" s="147"/>
      <c r="H266" s="147"/>
      <c r="I266" s="148"/>
      <c r="J266" s="148"/>
      <c r="K266" s="148"/>
      <c r="L266" s="148"/>
      <c r="M266" s="148"/>
      <c r="N266" s="148"/>
      <c r="O266" s="147"/>
      <c r="P266" s="147"/>
      <c r="Q266" s="147"/>
      <c r="R266" s="147"/>
      <c r="S266" s="147"/>
      <c r="T266" s="147"/>
      <c r="U266" s="147"/>
      <c r="V266" s="147"/>
      <c r="W266" s="147"/>
      <c r="X266" s="147"/>
      <c r="Y266" s="147"/>
      <c r="Z266" s="147"/>
      <c r="AA266" s="147"/>
      <c r="AB266" s="147"/>
      <c r="AC266" s="147"/>
      <c r="AD266" s="147"/>
      <c r="AE266" s="164"/>
      <c r="AF266" s="164"/>
      <c r="AG266" s="147"/>
      <c r="AH266" s="147"/>
      <c r="AI266" s="147"/>
      <c r="AJ266" s="147"/>
      <c r="AK266" s="147"/>
      <c r="AL266" s="147"/>
      <c r="AM266" s="141" t="str">
        <f t="shared" ca="1" si="16"/>
        <v>Desactualizado</v>
      </c>
      <c r="AN266" s="190">
        <f t="shared" si="17"/>
        <v>0</v>
      </c>
      <c r="AO266" s="193">
        <f t="shared" ca="1" si="18"/>
        <v>-1505.5666666666666</v>
      </c>
      <c r="AP266" s="195" t="str">
        <f t="shared" ref="AP266:AP277" ca="1" si="19">IF(AO266&gt;6,"Vigente",IF(AND(AO266&gt;=3,AO266&lt;=6),"Pendiente por vencer",IF(AND(AO266&gt;=1,AO266&lt;=3),"Proxima a vencer","Vencida")))</f>
        <v>Vencida</v>
      </c>
    </row>
    <row r="267" spans="1:42" ht="20.25" x14ac:dyDescent="0.3">
      <c r="A267" s="147"/>
      <c r="B267" s="141"/>
      <c r="C267" s="141"/>
      <c r="D267" s="141"/>
      <c r="E267" s="141"/>
      <c r="F267" s="141"/>
      <c r="G267" s="141"/>
      <c r="H267" s="147"/>
      <c r="I267" s="148"/>
      <c r="J267" s="148"/>
      <c r="K267" s="148"/>
      <c r="L267" s="148"/>
      <c r="M267" s="148"/>
      <c r="N267" s="148"/>
      <c r="O267" s="147"/>
      <c r="P267" s="141"/>
      <c r="Q267" s="147"/>
      <c r="R267" s="147"/>
      <c r="S267" s="147"/>
      <c r="T267" s="147"/>
      <c r="U267" s="147"/>
      <c r="V267" s="152"/>
      <c r="W267" s="147"/>
      <c r="X267" s="147"/>
      <c r="Y267" s="141"/>
      <c r="Z267" s="141"/>
      <c r="AA267" s="141"/>
      <c r="AB267" s="141"/>
      <c r="AC267" s="141"/>
      <c r="AD267" s="160"/>
      <c r="AE267" s="153"/>
      <c r="AF267" s="153"/>
      <c r="AG267" s="141"/>
      <c r="AH267" s="141"/>
      <c r="AI267" s="141"/>
      <c r="AJ267" s="141"/>
      <c r="AK267" s="147"/>
      <c r="AL267" s="175"/>
      <c r="AM267" s="141" t="str">
        <f t="shared" ca="1" si="16"/>
        <v>Desactualizado</v>
      </c>
      <c r="AN267" s="190">
        <f t="shared" si="17"/>
        <v>0</v>
      </c>
      <c r="AO267" s="193">
        <f t="shared" ca="1" si="18"/>
        <v>-1505.5666666666666</v>
      </c>
      <c r="AP267" s="195" t="str">
        <f t="shared" ca="1" si="19"/>
        <v>Vencida</v>
      </c>
    </row>
    <row r="268" spans="1:42" ht="20.25" x14ac:dyDescent="0.3">
      <c r="A268" s="147"/>
      <c r="B268" s="141"/>
      <c r="C268" s="141"/>
      <c r="D268" s="141"/>
      <c r="E268" s="147"/>
      <c r="F268" s="147"/>
      <c r="G268" s="147"/>
      <c r="H268" s="147"/>
      <c r="I268" s="148"/>
      <c r="J268" s="148"/>
      <c r="K268" s="148"/>
      <c r="L268" s="148"/>
      <c r="M268" s="148"/>
      <c r="N268" s="148"/>
      <c r="O268" s="147"/>
      <c r="P268" s="147"/>
      <c r="Q268" s="147"/>
      <c r="R268" s="147"/>
      <c r="S268" s="147"/>
      <c r="T268" s="147"/>
      <c r="U268" s="147"/>
      <c r="V268" s="147"/>
      <c r="W268" s="147"/>
      <c r="X268" s="147"/>
      <c r="Y268" s="141"/>
      <c r="Z268" s="141"/>
      <c r="AA268" s="141"/>
      <c r="AB268" s="141"/>
      <c r="AC268" s="141"/>
      <c r="AD268" s="160"/>
      <c r="AE268" s="153"/>
      <c r="AF268" s="153"/>
      <c r="AG268" s="141"/>
      <c r="AH268" s="141"/>
      <c r="AI268" s="141"/>
      <c r="AJ268" s="141"/>
      <c r="AK268" s="147"/>
      <c r="AL268" s="175"/>
      <c r="AM268" s="141" t="str">
        <f t="shared" ca="1" si="16"/>
        <v>Desactualizado</v>
      </c>
      <c r="AN268" s="190">
        <f t="shared" si="17"/>
        <v>0</v>
      </c>
      <c r="AO268" s="193">
        <f t="shared" ca="1" si="18"/>
        <v>-1505.5666666666666</v>
      </c>
      <c r="AP268" s="195" t="str">
        <f t="shared" ca="1" si="19"/>
        <v>Vencida</v>
      </c>
    </row>
    <row r="269" spans="1:42" ht="29.25" customHeight="1" x14ac:dyDescent="0.3">
      <c r="A269" s="147"/>
      <c r="B269" s="141"/>
      <c r="C269" s="141"/>
      <c r="D269" s="141"/>
      <c r="E269" s="147"/>
      <c r="F269" s="147"/>
      <c r="G269" s="147"/>
      <c r="H269" s="141"/>
      <c r="I269" s="148"/>
      <c r="J269" s="148"/>
      <c r="K269" s="148"/>
      <c r="L269" s="148"/>
      <c r="M269" s="148"/>
      <c r="N269" s="148"/>
      <c r="O269" s="147"/>
      <c r="P269" s="141"/>
      <c r="Q269" s="147"/>
      <c r="R269" s="147"/>
      <c r="S269" s="147"/>
      <c r="T269" s="147"/>
      <c r="U269" s="147"/>
      <c r="V269" s="152"/>
      <c r="W269" s="147"/>
      <c r="X269" s="147"/>
      <c r="Y269" s="141"/>
      <c r="Z269" s="141"/>
      <c r="AA269" s="141"/>
      <c r="AB269" s="141"/>
      <c r="AC269" s="141"/>
      <c r="AD269" s="160"/>
      <c r="AE269" s="153"/>
      <c r="AF269" s="153"/>
      <c r="AG269" s="141"/>
      <c r="AH269" s="141"/>
      <c r="AI269" s="141"/>
      <c r="AJ269" s="141"/>
      <c r="AK269" s="147"/>
      <c r="AL269" s="175"/>
      <c r="AM269" s="141" t="str">
        <f t="shared" ca="1" si="16"/>
        <v>Desactualizado</v>
      </c>
      <c r="AN269" s="190">
        <f t="shared" si="17"/>
        <v>0</v>
      </c>
      <c r="AO269" s="193">
        <f t="shared" ca="1" si="18"/>
        <v>-1505.5666666666666</v>
      </c>
      <c r="AP269" s="195" t="str">
        <f t="shared" ca="1" si="19"/>
        <v>Vencida</v>
      </c>
    </row>
    <row r="270" spans="1:42" ht="29.25" customHeight="1" x14ac:dyDescent="0.3">
      <c r="A270" s="147"/>
      <c r="B270" s="148"/>
      <c r="C270" s="148"/>
      <c r="D270" s="148"/>
      <c r="E270" s="147"/>
      <c r="F270" s="147"/>
      <c r="G270" s="147"/>
      <c r="H270" s="147"/>
      <c r="I270" s="162"/>
      <c r="J270" s="162"/>
      <c r="K270" s="148"/>
      <c r="L270" s="162"/>
      <c r="M270" s="162"/>
      <c r="N270" s="162"/>
      <c r="O270" s="147"/>
      <c r="P270" s="147"/>
      <c r="Q270" s="147"/>
      <c r="R270" s="147"/>
      <c r="S270" s="147"/>
      <c r="T270" s="147"/>
      <c r="U270" s="147"/>
      <c r="V270" s="147"/>
      <c r="W270" s="147"/>
      <c r="X270" s="147"/>
      <c r="Y270" s="147"/>
      <c r="Z270" s="147"/>
      <c r="AA270" s="147"/>
      <c r="AB270" s="147"/>
      <c r="AC270" s="147"/>
      <c r="AD270" s="147"/>
      <c r="AE270" s="164"/>
      <c r="AF270" s="164"/>
      <c r="AG270" s="147"/>
      <c r="AH270" s="147"/>
      <c r="AI270" s="147"/>
      <c r="AJ270" s="147"/>
      <c r="AK270" s="147"/>
      <c r="AL270" s="147"/>
      <c r="AM270" s="141" t="str">
        <f t="shared" ca="1" si="16"/>
        <v>Desactualizado</v>
      </c>
      <c r="AN270" s="190">
        <f t="shared" si="17"/>
        <v>0</v>
      </c>
      <c r="AO270" s="193">
        <f t="shared" ca="1" si="18"/>
        <v>-1505.5666666666666</v>
      </c>
      <c r="AP270" s="195" t="str">
        <f t="shared" ca="1" si="19"/>
        <v>Vencida</v>
      </c>
    </row>
    <row r="271" spans="1:42" ht="29.25" customHeight="1" x14ac:dyDescent="0.3">
      <c r="A271" s="147"/>
      <c r="B271" s="148"/>
      <c r="C271" s="148"/>
      <c r="D271" s="148"/>
      <c r="E271" s="141"/>
      <c r="F271" s="141"/>
      <c r="G271" s="141"/>
      <c r="H271" s="141"/>
      <c r="I271" s="162"/>
      <c r="J271" s="148"/>
      <c r="K271" s="148"/>
      <c r="L271" s="148"/>
      <c r="M271" s="148"/>
      <c r="N271" s="148"/>
      <c r="O271" s="141"/>
      <c r="P271" s="141"/>
      <c r="Q271" s="147"/>
      <c r="R271" s="147"/>
      <c r="S271" s="147"/>
      <c r="T271" s="147"/>
      <c r="U271" s="147"/>
      <c r="V271" s="152"/>
      <c r="W271" s="147"/>
      <c r="X271" s="147"/>
      <c r="Y271" s="141"/>
      <c r="Z271" s="141"/>
      <c r="AA271" s="141"/>
      <c r="AB271" s="141"/>
      <c r="AC271" s="141"/>
      <c r="AD271" s="160"/>
      <c r="AE271" s="153"/>
      <c r="AF271" s="153"/>
      <c r="AG271" s="141"/>
      <c r="AH271" s="141"/>
      <c r="AI271" s="141"/>
      <c r="AJ271" s="141"/>
      <c r="AK271" s="147"/>
      <c r="AL271" s="147"/>
      <c r="AM271" s="141" t="str">
        <f t="shared" ca="1" si="16"/>
        <v>Desactualizado</v>
      </c>
      <c r="AN271" s="190">
        <f t="shared" si="17"/>
        <v>0</v>
      </c>
      <c r="AO271" s="193">
        <f t="shared" ca="1" si="18"/>
        <v>-1505.5666666666666</v>
      </c>
      <c r="AP271" s="195" t="str">
        <f t="shared" ca="1" si="19"/>
        <v>Vencida</v>
      </c>
    </row>
    <row r="272" spans="1:42" ht="29.25" customHeight="1" x14ac:dyDescent="0.3">
      <c r="A272" s="147"/>
      <c r="B272" s="141"/>
      <c r="C272" s="141"/>
      <c r="D272" s="141"/>
      <c r="E272" s="141"/>
      <c r="F272" s="141"/>
      <c r="G272" s="141"/>
      <c r="H272" s="141"/>
      <c r="I272" s="148"/>
      <c r="J272" s="148"/>
      <c r="K272" s="148"/>
      <c r="L272" s="148"/>
      <c r="M272" s="148"/>
      <c r="N272" s="148"/>
      <c r="O272" s="141"/>
      <c r="P272" s="141"/>
      <c r="Q272" s="147"/>
      <c r="R272" s="147"/>
      <c r="S272" s="147"/>
      <c r="T272" s="147"/>
      <c r="U272" s="147"/>
      <c r="V272" s="152"/>
      <c r="W272" s="147"/>
      <c r="X272" s="147"/>
      <c r="Y272" s="141"/>
      <c r="Z272" s="141"/>
      <c r="AA272" s="141"/>
      <c r="AB272" s="141"/>
      <c r="AC272" s="141"/>
      <c r="AD272" s="160"/>
      <c r="AE272" s="153"/>
      <c r="AF272" s="153"/>
      <c r="AG272" s="141"/>
      <c r="AH272" s="141"/>
      <c r="AI272" s="141"/>
      <c r="AJ272" s="141"/>
      <c r="AK272" s="147"/>
      <c r="AL272" s="147"/>
      <c r="AM272" s="141" t="str">
        <f t="shared" ref="AM272:AM277" ca="1" si="20">IF(((TODAY()-AL272)/365)&lt;=5,"Actualizado","Desactualizado")</f>
        <v>Desactualizado</v>
      </c>
      <c r="AN272" s="190">
        <f t="shared" si="17"/>
        <v>0</v>
      </c>
      <c r="AO272" s="193">
        <f t="shared" ca="1" si="18"/>
        <v>-1505.5666666666666</v>
      </c>
      <c r="AP272" s="195" t="str">
        <f t="shared" ca="1" si="19"/>
        <v>Vencida</v>
      </c>
    </row>
    <row r="273" spans="1:42" ht="29.25" customHeight="1" x14ac:dyDescent="0.3">
      <c r="A273" s="147"/>
      <c r="B273" s="166"/>
      <c r="C273" s="166"/>
      <c r="D273" s="166"/>
      <c r="E273" s="147"/>
      <c r="F273" s="147"/>
      <c r="G273" s="147"/>
      <c r="H273" s="147"/>
      <c r="I273" s="141"/>
      <c r="J273" s="147"/>
      <c r="K273" s="148"/>
      <c r="L273" s="147"/>
      <c r="M273" s="147"/>
      <c r="N273" s="147"/>
      <c r="O273" s="147"/>
      <c r="P273" s="147"/>
      <c r="Q273" s="147"/>
      <c r="R273" s="147"/>
      <c r="S273" s="147"/>
      <c r="T273" s="147"/>
      <c r="U273" s="147"/>
      <c r="V273" s="147"/>
      <c r="W273" s="147"/>
      <c r="X273" s="147"/>
      <c r="Y273" s="147"/>
      <c r="Z273" s="147"/>
      <c r="AA273" s="147"/>
      <c r="AB273" s="147"/>
      <c r="AC273" s="147"/>
      <c r="AD273" s="147"/>
      <c r="AE273" s="164"/>
      <c r="AF273" s="164"/>
      <c r="AG273" s="147"/>
      <c r="AH273" s="147"/>
      <c r="AI273" s="147"/>
      <c r="AJ273" s="147"/>
      <c r="AK273" s="147"/>
      <c r="AL273" s="147"/>
      <c r="AM273" s="141" t="str">
        <f t="shared" ca="1" si="20"/>
        <v>Desactualizado</v>
      </c>
      <c r="AN273" s="190">
        <f t="shared" si="17"/>
        <v>0</v>
      </c>
      <c r="AO273" s="193">
        <f t="shared" ca="1" si="18"/>
        <v>-1505.5666666666666</v>
      </c>
      <c r="AP273" s="195" t="str">
        <f t="shared" ca="1" si="19"/>
        <v>Vencida</v>
      </c>
    </row>
    <row r="274" spans="1:42" ht="29.25" customHeight="1" x14ac:dyDescent="0.3">
      <c r="A274" s="147"/>
      <c r="B274" s="141"/>
      <c r="C274" s="141"/>
      <c r="D274" s="141"/>
      <c r="E274" s="141"/>
      <c r="F274" s="141"/>
      <c r="G274" s="141"/>
      <c r="H274" s="141"/>
      <c r="I274" s="141"/>
      <c r="J274" s="141"/>
      <c r="K274" s="148"/>
      <c r="L274" s="141"/>
      <c r="M274" s="141"/>
      <c r="N274" s="141"/>
      <c r="O274" s="141"/>
      <c r="P274" s="141"/>
      <c r="Q274" s="147"/>
      <c r="R274" s="147"/>
      <c r="S274" s="147"/>
      <c r="T274" s="147"/>
      <c r="U274" s="147"/>
      <c r="V274" s="152"/>
      <c r="W274" s="147"/>
      <c r="X274" s="147"/>
      <c r="Y274" s="141"/>
      <c r="Z274" s="141"/>
      <c r="AA274" s="141"/>
      <c r="AB274" s="141"/>
      <c r="AC274" s="141"/>
      <c r="AD274" s="160"/>
      <c r="AE274" s="153"/>
      <c r="AF274" s="153"/>
      <c r="AG274" s="141"/>
      <c r="AH274" s="141"/>
      <c r="AI274" s="141"/>
      <c r="AJ274" s="141"/>
      <c r="AK274" s="147"/>
      <c r="AL274" s="147"/>
      <c r="AM274" s="141" t="str">
        <f t="shared" ca="1" si="20"/>
        <v>Desactualizado</v>
      </c>
      <c r="AN274" s="190">
        <f t="shared" si="17"/>
        <v>0</v>
      </c>
      <c r="AO274" s="193">
        <f t="shared" ca="1" si="18"/>
        <v>-1505.5666666666666</v>
      </c>
      <c r="AP274" s="195" t="str">
        <f t="shared" ca="1" si="19"/>
        <v>Vencida</v>
      </c>
    </row>
    <row r="275" spans="1:42" ht="29.25" customHeight="1" x14ac:dyDescent="0.3">
      <c r="A275" s="147"/>
      <c r="B275" s="166"/>
      <c r="C275" s="166"/>
      <c r="D275" s="166"/>
      <c r="E275" s="147"/>
      <c r="F275" s="147"/>
      <c r="G275" s="147"/>
      <c r="H275" s="147"/>
      <c r="I275" s="141"/>
      <c r="J275" s="147"/>
      <c r="K275" s="148"/>
      <c r="L275" s="147"/>
      <c r="M275" s="147"/>
      <c r="N275" s="147"/>
      <c r="O275" s="147"/>
      <c r="P275" s="147"/>
      <c r="Q275" s="147"/>
      <c r="R275" s="147"/>
      <c r="S275" s="147"/>
      <c r="T275" s="147"/>
      <c r="U275" s="147"/>
      <c r="V275" s="147"/>
      <c r="W275" s="147"/>
      <c r="X275" s="147"/>
      <c r="Y275" s="147"/>
      <c r="Z275" s="147"/>
      <c r="AA275" s="147"/>
      <c r="AB275" s="147"/>
      <c r="AC275" s="147"/>
      <c r="AD275" s="147"/>
      <c r="AE275" s="164"/>
      <c r="AF275" s="164"/>
      <c r="AG275" s="147"/>
      <c r="AH275" s="147"/>
      <c r="AI275" s="147"/>
      <c r="AJ275" s="147"/>
      <c r="AK275" s="147"/>
      <c r="AL275" s="147"/>
      <c r="AM275" s="141" t="str">
        <f t="shared" ca="1" si="20"/>
        <v>Desactualizado</v>
      </c>
      <c r="AN275" s="190">
        <f t="shared" si="17"/>
        <v>0</v>
      </c>
      <c r="AO275" s="193">
        <f t="shared" ca="1" si="18"/>
        <v>-1505.5666666666666</v>
      </c>
      <c r="AP275" s="195" t="str">
        <f t="shared" ca="1" si="19"/>
        <v>Vencida</v>
      </c>
    </row>
    <row r="276" spans="1:42" ht="29.25" customHeight="1" x14ac:dyDescent="0.3">
      <c r="A276" s="147"/>
      <c r="B276" s="141"/>
      <c r="C276" s="141"/>
      <c r="D276" s="141"/>
      <c r="E276" s="141"/>
      <c r="F276" s="141"/>
      <c r="G276" s="141"/>
      <c r="H276" s="141"/>
      <c r="I276" s="141"/>
      <c r="J276" s="141"/>
      <c r="K276" s="148"/>
      <c r="L276" s="141"/>
      <c r="M276" s="141"/>
      <c r="N276" s="141"/>
      <c r="O276" s="141"/>
      <c r="P276" s="141"/>
      <c r="Q276" s="147"/>
      <c r="R276" s="147"/>
      <c r="S276" s="147"/>
      <c r="T276" s="147"/>
      <c r="U276" s="147"/>
      <c r="V276" s="152"/>
      <c r="W276" s="147"/>
      <c r="X276" s="147"/>
      <c r="Y276" s="141"/>
      <c r="Z276" s="141"/>
      <c r="AA276" s="141"/>
      <c r="AB276" s="141"/>
      <c r="AC276" s="141"/>
      <c r="AD276" s="160"/>
      <c r="AE276" s="153"/>
      <c r="AF276" s="153"/>
      <c r="AG276" s="141"/>
      <c r="AH276" s="141"/>
      <c r="AI276" s="141"/>
      <c r="AJ276" s="141"/>
      <c r="AK276" s="147"/>
      <c r="AL276" s="147"/>
      <c r="AM276" s="141" t="str">
        <f t="shared" ca="1" si="20"/>
        <v>Desactualizado</v>
      </c>
      <c r="AN276" s="190">
        <f t="shared" si="17"/>
        <v>0</v>
      </c>
      <c r="AO276" s="193">
        <f t="shared" ca="1" si="18"/>
        <v>-1505.5666666666666</v>
      </c>
      <c r="AP276" s="195" t="str">
        <f t="shared" ca="1" si="19"/>
        <v>Vencida</v>
      </c>
    </row>
    <row r="277" spans="1:42" ht="29.25" customHeight="1" x14ac:dyDescent="0.3">
      <c r="A277" s="147"/>
      <c r="B277" s="166"/>
      <c r="C277" s="166"/>
      <c r="D277" s="166"/>
      <c r="E277" s="147"/>
      <c r="F277" s="147"/>
      <c r="G277" s="147"/>
      <c r="H277" s="147"/>
      <c r="I277" s="141"/>
      <c r="J277" s="147"/>
      <c r="K277" s="148"/>
      <c r="L277" s="147"/>
      <c r="M277" s="147"/>
      <c r="N277" s="147"/>
      <c r="O277" s="147"/>
      <c r="P277" s="147"/>
      <c r="Q277" s="147"/>
      <c r="R277" s="147"/>
      <c r="S277" s="147"/>
      <c r="T277" s="147"/>
      <c r="U277" s="147"/>
      <c r="V277" s="147"/>
      <c r="W277" s="147"/>
      <c r="X277" s="147"/>
      <c r="Y277" s="147"/>
      <c r="Z277" s="147"/>
      <c r="AA277" s="147"/>
      <c r="AB277" s="147"/>
      <c r="AC277" s="147"/>
      <c r="AD277" s="147"/>
      <c r="AE277" s="164"/>
      <c r="AF277" s="164"/>
      <c r="AG277" s="147"/>
      <c r="AH277" s="147"/>
      <c r="AI277" s="147"/>
      <c r="AJ277" s="147"/>
      <c r="AK277" s="147"/>
      <c r="AL277" s="147"/>
      <c r="AM277" s="141" t="str">
        <f t="shared" ca="1" si="20"/>
        <v>Desactualizado</v>
      </c>
      <c r="AN277" s="190">
        <f t="shared" si="17"/>
        <v>0</v>
      </c>
      <c r="AO277" s="193">
        <f t="shared" ca="1" si="18"/>
        <v>-1505.5666666666666</v>
      </c>
      <c r="AP277" s="195" t="str">
        <f t="shared" ca="1" si="19"/>
        <v>Vencida</v>
      </c>
    </row>
    <row r="278" spans="1:42" ht="29.25" customHeight="1" x14ac:dyDescent="0.25">
      <c r="A278" s="167"/>
      <c r="B278" s="168"/>
      <c r="C278" s="168"/>
      <c r="D278" s="168"/>
      <c r="E278" s="169"/>
      <c r="F278" s="169"/>
      <c r="G278" s="169"/>
      <c r="H278" s="169"/>
      <c r="I278" s="170"/>
      <c r="J278" s="169"/>
      <c r="K278" s="169"/>
      <c r="L278" s="169"/>
      <c r="M278" s="169"/>
      <c r="O278" s="169"/>
      <c r="P278" s="169"/>
      <c r="Q278" s="169"/>
      <c r="R278" s="169"/>
      <c r="S278" s="169"/>
      <c r="T278" s="169"/>
      <c r="U278" s="169"/>
      <c r="V278" s="169"/>
      <c r="W278" s="169"/>
      <c r="X278" s="169"/>
      <c r="Y278" s="169"/>
      <c r="Z278" s="169"/>
      <c r="AA278" s="169"/>
      <c r="AB278" s="169"/>
      <c r="AC278" s="169"/>
      <c r="AD278" s="169"/>
      <c r="AE278" s="167"/>
      <c r="AF278" s="167"/>
      <c r="AG278" s="167"/>
      <c r="AH278" s="167"/>
      <c r="AI278" s="167"/>
      <c r="AJ278" s="167"/>
      <c r="AK278" s="167"/>
      <c r="AL278" s="169"/>
      <c r="AM278" s="167"/>
      <c r="AN278" s="169"/>
      <c r="AO278" s="167"/>
    </row>
  </sheetData>
  <autoFilter ref="A7:AM271" xr:uid="{00000000-0009-0000-0000-000001000000}">
    <filterColumn colId="24" showButton="0"/>
    <filterColumn colId="27" showButton="0"/>
    <sortState xmlns:xlrd2="http://schemas.microsoft.com/office/spreadsheetml/2017/richdata2" ref="A5:AO271">
      <sortCondition ref="AM8:AM271"/>
    </sortState>
  </autoFilter>
  <dataConsolidate link="1"/>
  <mergeCells count="24">
    <mergeCell ref="AN5:AP6"/>
    <mergeCell ref="A5:O6"/>
    <mergeCell ref="AG5:AJ6"/>
    <mergeCell ref="X6:X7"/>
    <mergeCell ref="P6:P7"/>
    <mergeCell ref="Q6:Q7"/>
    <mergeCell ref="R6:R7"/>
    <mergeCell ref="S5:T5"/>
    <mergeCell ref="A1:C3"/>
    <mergeCell ref="D1:AK3"/>
    <mergeCell ref="AK5:AM6"/>
    <mergeCell ref="Y6:AC6"/>
    <mergeCell ref="P5:R5"/>
    <mergeCell ref="U5:V5"/>
    <mergeCell ref="Y5:AF5"/>
    <mergeCell ref="AD6:AD7"/>
    <mergeCell ref="AE6:AE7"/>
    <mergeCell ref="AF6:AF7"/>
    <mergeCell ref="U6:U7"/>
    <mergeCell ref="V6:V7"/>
    <mergeCell ref="S6:S7"/>
    <mergeCell ref="T6:T7"/>
    <mergeCell ref="W5:X5"/>
    <mergeCell ref="W6:W7"/>
  </mergeCells>
  <phoneticPr fontId="0" type="noConversion"/>
  <conditionalFormatting sqref="AM8:AM277">
    <cfRule type="containsText" dxfId="9" priority="11" operator="containsText" text="Desactualizado">
      <formula>NOT(ISERROR(SEARCH("Desactualizado",AM8)))</formula>
    </cfRule>
    <cfRule type="containsText" dxfId="8" priority="12" operator="containsText" text="Actualizado">
      <formula>NOT(ISERROR(SEARCH("Actualizado",AM8)))</formula>
    </cfRule>
  </conditionalFormatting>
  <conditionalFormatting sqref="AM8">
    <cfRule type="colorScale" priority="15">
      <colorScale>
        <cfvo type="min"/>
        <cfvo type="percentile" val="50"/>
        <cfvo type="max"/>
        <color rgb="FFF8696B"/>
        <color rgb="FFFFEB84"/>
        <color rgb="FF63BE7B"/>
      </colorScale>
    </cfRule>
  </conditionalFormatting>
  <conditionalFormatting sqref="AP1:AP1048576">
    <cfRule type="containsText" dxfId="7" priority="1" operator="containsText" text="Vencida">
      <formula>NOT(ISERROR(SEARCH("Vencida",AP1)))</formula>
    </cfRule>
    <cfRule type="containsText" dxfId="6" priority="2" operator="containsText" text="Proxima a vencer">
      <formula>NOT(ISERROR(SEARCH("Proxima a vencer",AP1)))</formula>
    </cfRule>
    <cfRule type="containsText" dxfId="5" priority="3" operator="containsText" text="Pendiente a vencer">
      <formula>NOT(ISERROR(SEARCH("Pendiente a vencer",AP1)))</formula>
    </cfRule>
    <cfRule type="containsText" dxfId="4" priority="4" operator="containsText" text="Vigente">
      <formula>NOT(ISERROR(SEARCH("Vigente",AP1)))</formula>
    </cfRule>
  </conditionalFormatting>
  <dataValidations count="9">
    <dataValidation type="list" allowBlank="1" showInputMessage="1" showErrorMessage="1" sqref="P112:R265 P269:R269 P8:R110" xr:uid="{00000000-0002-0000-0100-000000000000}">
      <formula1>Lista</formula1>
    </dataValidation>
    <dataValidation type="list" allowBlank="1" showInputMessage="1" showErrorMessage="1" sqref="Y267:Z269 Y8:Z265" xr:uid="{00000000-0002-0000-0100-000001000000}">
      <formula1>ListaSGA1</formula1>
    </dataValidation>
    <dataValidation type="list" allowBlank="1" showInputMessage="1" showErrorMessage="1" sqref="AB267:AC269 AB8:AC265" xr:uid="{00000000-0002-0000-0100-000002000000}">
      <formula1>ListaSGA2</formula1>
    </dataValidation>
    <dataValidation type="list" allowBlank="1" showInputMessage="1" showErrorMessage="1" sqref="AA267:AA269 AA8:AA265" xr:uid="{00000000-0002-0000-0100-000003000000}">
      <formula1>ListaSGA3</formula1>
    </dataValidation>
    <dataValidation type="list" allowBlank="1" showInputMessage="1" showErrorMessage="1" sqref="E8:E265" xr:uid="{00000000-0002-0000-0100-000004000000}">
      <formula1>"Liquido, Sólido, Gaseoso"</formula1>
    </dataValidation>
    <dataValidation type="list" allowBlank="1" showInputMessage="1" showErrorMessage="1" sqref="U8:U277 S8:S277 AK8:AK277 W8:W277" xr:uid="{00000000-0002-0000-0100-000005000000}">
      <formula1>"Si, No"</formula1>
    </dataValidation>
    <dataValidation type="list" allowBlank="1" showInputMessage="1" showErrorMessage="1" sqref="T8:T277" xr:uid="{00000000-0002-0000-0100-000006000000}">
      <formula1>"Categoría 1, Categoría 2, Categoria 3, Categoría 4, Categoría 5"</formula1>
    </dataValidation>
    <dataValidation type="list" allowBlank="1" showInputMessage="1" showErrorMessage="1" sqref="K8:K277" xr:uid="{00000000-0002-0000-0100-000007000000}">
      <formula1>"Fraternidad, Robledo, Floresta, Castilla, Prado"</formula1>
    </dataValidation>
    <dataValidation type="list" allowBlank="1" showInputMessage="1" showErrorMessage="1" sqref="AD8:AD277" xr:uid="{00000000-0002-0000-0100-000008000000}">
      <formula1>"Peligro, Atención, Sin palabra advertencia"</formula1>
    </dataValidation>
  </dataValidations>
  <printOptions gridLinesSet="0"/>
  <pageMargins left="0.75" right="0.75" top="1" bottom="1" header="0.51181102300000003" footer="0.51181102300000003"/>
  <pageSetup scale="10" orientation="portrait" horizontalDpi="4294967293" verticalDpi="300" r:id="rId1"/>
  <headerFooter alignWithMargins="0">
    <oddHeader>&amp;A</oddHeader>
    <oddFooter>Seite &amp;P</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9000000}">
          <x14:formula1>
            <xm:f>'Sustancias controladas'!$C$9:$C$41</xm:f>
          </x14:formula1>
          <xm:sqref>X8:X277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picture r:id="rId2"/>
  </sheetPr>
  <dimension ref="A3:D18"/>
  <sheetViews>
    <sheetView workbookViewId="0">
      <selection activeCell="A3" sqref="A3:D18"/>
    </sheetView>
  </sheetViews>
  <sheetFormatPr baseColWidth="10" defaultRowHeight="12.75" x14ac:dyDescent="0.2"/>
  <cols>
    <col min="1" max="1" width="30" customWidth="1"/>
    <col min="2" max="2" width="21.7109375" bestFit="1" customWidth="1"/>
    <col min="3" max="3" width="21.42578125" customWidth="1"/>
    <col min="4" max="4" width="23.28515625" customWidth="1"/>
  </cols>
  <sheetData>
    <row r="3" spans="1:4" x14ac:dyDescent="0.2">
      <c r="A3" s="79" t="s">
        <v>781</v>
      </c>
      <c r="B3" s="79" t="s">
        <v>782</v>
      </c>
      <c r="C3" s="79" t="s">
        <v>783</v>
      </c>
      <c r="D3" s="79" t="s">
        <v>784</v>
      </c>
    </row>
    <row r="4" spans="1:4" x14ac:dyDescent="0.2">
      <c r="A4" s="14" t="s">
        <v>753</v>
      </c>
      <c r="B4" s="38">
        <v>42500</v>
      </c>
      <c r="C4" s="19" t="s">
        <v>780</v>
      </c>
      <c r="D4" s="80" t="s">
        <v>789</v>
      </c>
    </row>
    <row r="5" spans="1:4" x14ac:dyDescent="0.2">
      <c r="A5" s="14" t="s">
        <v>739</v>
      </c>
      <c r="B5" s="38">
        <v>42007</v>
      </c>
      <c r="C5" s="19" t="s">
        <v>780</v>
      </c>
      <c r="D5" s="80" t="s">
        <v>789</v>
      </c>
    </row>
    <row r="6" spans="1:4" ht="51" x14ac:dyDescent="0.2">
      <c r="A6" s="14" t="s">
        <v>777</v>
      </c>
      <c r="B6" s="38" t="s">
        <v>77</v>
      </c>
      <c r="C6" s="19" t="s">
        <v>77</v>
      </c>
      <c r="D6" s="80" t="s">
        <v>790</v>
      </c>
    </row>
    <row r="7" spans="1:4" x14ac:dyDescent="0.2">
      <c r="A7" s="14" t="s">
        <v>748</v>
      </c>
      <c r="B7" s="38">
        <v>41486</v>
      </c>
      <c r="C7" s="19" t="s">
        <v>780</v>
      </c>
      <c r="D7" s="80" t="s">
        <v>789</v>
      </c>
    </row>
    <row r="8" spans="1:4" ht="38.25" x14ac:dyDescent="0.2">
      <c r="A8" s="14" t="s">
        <v>778</v>
      </c>
      <c r="B8" s="38" t="s">
        <v>77</v>
      </c>
      <c r="C8" s="19" t="s">
        <v>77</v>
      </c>
      <c r="D8" s="80" t="s">
        <v>788</v>
      </c>
    </row>
    <row r="9" spans="1:4" ht="25.5" x14ac:dyDescent="0.2">
      <c r="A9" s="14" t="s">
        <v>757</v>
      </c>
      <c r="B9" s="38">
        <v>42915</v>
      </c>
      <c r="C9" s="19" t="s">
        <v>780</v>
      </c>
      <c r="D9" s="80" t="s">
        <v>787</v>
      </c>
    </row>
    <row r="10" spans="1:4" ht="51" x14ac:dyDescent="0.2">
      <c r="A10" s="14" t="s">
        <v>764</v>
      </c>
      <c r="B10" s="19"/>
      <c r="C10" s="19" t="s">
        <v>780</v>
      </c>
      <c r="D10" s="80" t="s">
        <v>785</v>
      </c>
    </row>
    <row r="11" spans="1:4" ht="51" x14ac:dyDescent="0.2">
      <c r="A11" s="14" t="s">
        <v>766</v>
      </c>
      <c r="B11" s="19"/>
      <c r="C11" s="19" t="s">
        <v>780</v>
      </c>
      <c r="D11" s="80" t="s">
        <v>785</v>
      </c>
    </row>
    <row r="12" spans="1:4" x14ac:dyDescent="0.2">
      <c r="A12" s="14" t="s">
        <v>746</v>
      </c>
      <c r="B12" s="19"/>
      <c r="C12" s="19" t="s">
        <v>780</v>
      </c>
      <c r="D12" s="80" t="s">
        <v>786</v>
      </c>
    </row>
    <row r="13" spans="1:4" ht="38.25" x14ac:dyDescent="0.2">
      <c r="A13" s="14" t="s">
        <v>779</v>
      </c>
      <c r="B13" s="38" t="s">
        <v>77</v>
      </c>
      <c r="C13" s="19" t="s">
        <v>77</v>
      </c>
      <c r="D13" s="80" t="s">
        <v>788</v>
      </c>
    </row>
    <row r="14" spans="1:4" ht="38.25" x14ac:dyDescent="0.2">
      <c r="A14" s="14" t="s">
        <v>771</v>
      </c>
      <c r="B14" s="38" t="s">
        <v>77</v>
      </c>
      <c r="C14" s="19" t="s">
        <v>77</v>
      </c>
      <c r="D14" s="80" t="s">
        <v>788</v>
      </c>
    </row>
    <row r="15" spans="1:4" ht="38.25" x14ac:dyDescent="0.2">
      <c r="A15" s="14" t="s">
        <v>758</v>
      </c>
      <c r="B15" s="19" t="s">
        <v>77</v>
      </c>
      <c r="C15" s="19" t="s">
        <v>77</v>
      </c>
      <c r="D15" s="80" t="s">
        <v>788</v>
      </c>
    </row>
    <row r="16" spans="1:4" x14ac:dyDescent="0.2">
      <c r="A16" s="14" t="s">
        <v>770</v>
      </c>
      <c r="B16" s="38">
        <v>42485</v>
      </c>
      <c r="C16" s="19" t="s">
        <v>780</v>
      </c>
      <c r="D16" s="80" t="s">
        <v>789</v>
      </c>
    </row>
    <row r="17" spans="1:4" x14ac:dyDescent="0.2">
      <c r="A17" s="14" t="s">
        <v>760</v>
      </c>
      <c r="B17" s="38" t="s">
        <v>769</v>
      </c>
      <c r="C17" s="19" t="s">
        <v>77</v>
      </c>
      <c r="D17" s="80" t="s">
        <v>789</v>
      </c>
    </row>
    <row r="18" spans="1:4" ht="25.5" x14ac:dyDescent="0.2">
      <c r="A18" s="14" t="s">
        <v>776</v>
      </c>
      <c r="B18" s="38">
        <v>38582</v>
      </c>
      <c r="C18" s="19" t="s">
        <v>780</v>
      </c>
      <c r="D18" s="80" t="s">
        <v>789</v>
      </c>
    </row>
  </sheetData>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picture r:id="rId2"/>
  </sheetPr>
  <dimension ref="A3:B26"/>
  <sheetViews>
    <sheetView workbookViewId="0">
      <selection activeCell="A3" sqref="A3:B26"/>
    </sheetView>
  </sheetViews>
  <sheetFormatPr baseColWidth="10" defaultRowHeight="12.75" x14ac:dyDescent="0.2"/>
  <cols>
    <col min="1" max="1" width="22.28515625" customWidth="1"/>
    <col min="2" max="2" width="22.140625" customWidth="1"/>
  </cols>
  <sheetData>
    <row r="3" spans="1:2" x14ac:dyDescent="0.2">
      <c r="A3" s="78" t="s">
        <v>774</v>
      </c>
      <c r="B3" s="78" t="s">
        <v>775</v>
      </c>
    </row>
    <row r="4" spans="1:2" ht="25.5" x14ac:dyDescent="0.2">
      <c r="A4" s="14" t="s">
        <v>756</v>
      </c>
      <c r="B4" s="65"/>
    </row>
    <row r="5" spans="1:2" x14ac:dyDescent="0.2">
      <c r="A5" s="14" t="s">
        <v>761</v>
      </c>
      <c r="B5" s="65" t="s">
        <v>772</v>
      </c>
    </row>
    <row r="6" spans="1:2" x14ac:dyDescent="0.2">
      <c r="A6" s="14" t="s">
        <v>768</v>
      </c>
      <c r="B6" s="65"/>
    </row>
    <row r="7" spans="1:2" x14ac:dyDescent="0.2">
      <c r="A7" s="14" t="s">
        <v>759</v>
      </c>
      <c r="B7" s="65"/>
    </row>
    <row r="8" spans="1:2" x14ac:dyDescent="0.2">
      <c r="A8" s="14" t="s">
        <v>740</v>
      </c>
      <c r="B8" s="65" t="s">
        <v>772</v>
      </c>
    </row>
    <row r="9" spans="1:2" ht="25.5" x14ac:dyDescent="0.2">
      <c r="A9" s="14" t="s">
        <v>749</v>
      </c>
      <c r="B9" s="65"/>
    </row>
    <row r="10" spans="1:2" ht="25.5" x14ac:dyDescent="0.2">
      <c r="A10" s="14" t="s">
        <v>754</v>
      </c>
      <c r="B10" s="65"/>
    </row>
    <row r="11" spans="1:2" x14ac:dyDescent="0.2">
      <c r="A11" s="14" t="s">
        <v>765</v>
      </c>
      <c r="B11" s="65" t="s">
        <v>772</v>
      </c>
    </row>
    <row r="12" spans="1:2" x14ac:dyDescent="0.2">
      <c r="A12" s="14" t="s">
        <v>764</v>
      </c>
      <c r="B12" s="65"/>
    </row>
    <row r="13" spans="1:2" x14ac:dyDescent="0.2">
      <c r="A13" s="14" t="s">
        <v>766</v>
      </c>
      <c r="B13" s="65" t="s">
        <v>772</v>
      </c>
    </row>
    <row r="14" spans="1:2" x14ac:dyDescent="0.2">
      <c r="A14" s="14" t="s">
        <v>747</v>
      </c>
      <c r="B14" s="65"/>
    </row>
    <row r="15" spans="1:2" ht="25.5" x14ac:dyDescent="0.2">
      <c r="A15" s="14" t="s">
        <v>763</v>
      </c>
      <c r="B15" s="65"/>
    </row>
    <row r="16" spans="1:2" x14ac:dyDescent="0.2">
      <c r="A16" s="14" t="s">
        <v>750</v>
      </c>
      <c r="B16" s="65" t="s">
        <v>772</v>
      </c>
    </row>
    <row r="17" spans="1:2" x14ac:dyDescent="0.2">
      <c r="A17" s="14" t="s">
        <v>767</v>
      </c>
      <c r="B17" s="65"/>
    </row>
    <row r="18" spans="1:2" ht="25.5" x14ac:dyDescent="0.2">
      <c r="A18" s="14" t="s">
        <v>762</v>
      </c>
      <c r="B18" s="65"/>
    </row>
    <row r="19" spans="1:2" x14ac:dyDescent="0.2">
      <c r="A19" s="14" t="s">
        <v>752</v>
      </c>
      <c r="B19" s="65"/>
    </row>
    <row r="20" spans="1:2" ht="38.25" x14ac:dyDescent="0.2">
      <c r="A20" s="14" t="s">
        <v>751</v>
      </c>
      <c r="B20" s="65"/>
    </row>
    <row r="21" spans="1:2" ht="25.5" x14ac:dyDescent="0.2">
      <c r="A21" s="14" t="s">
        <v>742</v>
      </c>
      <c r="B21" s="65"/>
    </row>
    <row r="22" spans="1:2" ht="25.5" x14ac:dyDescent="0.2">
      <c r="A22" s="54" t="s">
        <v>741</v>
      </c>
      <c r="B22" s="65"/>
    </row>
    <row r="23" spans="1:2" ht="38.25" x14ac:dyDescent="0.2">
      <c r="A23" s="14" t="s">
        <v>743</v>
      </c>
      <c r="B23" s="65" t="s">
        <v>773</v>
      </c>
    </row>
    <row r="24" spans="1:2" ht="25.5" x14ac:dyDescent="0.2">
      <c r="A24" s="14" t="s">
        <v>744</v>
      </c>
      <c r="B24" s="65"/>
    </row>
    <row r="25" spans="1:2" x14ac:dyDescent="0.2">
      <c r="A25" s="14" t="s">
        <v>755</v>
      </c>
      <c r="B25" s="65"/>
    </row>
    <row r="26" spans="1:2" ht="25.5" x14ac:dyDescent="0.2">
      <c r="A26" s="14" t="s">
        <v>745</v>
      </c>
      <c r="B26" s="65"/>
    </row>
  </sheetData>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5">
    <picture r:id="rId1"/>
    <picture r:id="rId2"/>
  </sheetPr>
  <dimension ref="A1"/>
  <sheetViews>
    <sheetView workbookViewId="0"/>
  </sheetViews>
  <sheetFormatPr baseColWidth="10" defaultRowHeight="12.75" x14ac:dyDescent="0.2"/>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6">
    <picture r:id="rId3"/>
  </sheetPr>
  <dimension ref="A1:R19"/>
  <sheetViews>
    <sheetView topLeftCell="E1" zoomScale="70" zoomScaleNormal="70" workbookViewId="0">
      <selection activeCell="Q7" sqref="Q7"/>
    </sheetView>
  </sheetViews>
  <sheetFormatPr baseColWidth="10" defaultColWidth="11.42578125" defaultRowHeight="12.75" x14ac:dyDescent="0.2"/>
  <cols>
    <col min="1" max="1" width="12.42578125" style="2" customWidth="1"/>
    <col min="2" max="2" width="13.7109375" style="5" bestFit="1" customWidth="1"/>
    <col min="3" max="3" width="13.7109375" style="5" customWidth="1"/>
    <col min="4" max="5" width="11.42578125" style="2"/>
    <col min="6" max="6" width="12.7109375" style="2" bestFit="1" customWidth="1"/>
    <col min="7" max="7" width="12.85546875" style="2" customWidth="1"/>
    <col min="8" max="9" width="11.42578125" style="2"/>
    <col min="10" max="11" width="12.85546875" style="2" customWidth="1"/>
    <col min="12" max="13" width="11.42578125" style="2"/>
    <col min="14" max="14" width="15.140625" style="2" customWidth="1"/>
    <col min="15" max="15" width="15.85546875" style="2" customWidth="1"/>
    <col min="16" max="16" width="13.85546875" style="2" customWidth="1"/>
    <col min="17" max="17" width="41.85546875" style="2" customWidth="1"/>
    <col min="18" max="18" width="27.140625" style="2" customWidth="1"/>
    <col min="19" max="16384" width="11.42578125" style="2"/>
  </cols>
  <sheetData>
    <row r="1" spans="1:18" ht="46.5" customHeight="1" x14ac:dyDescent="0.2">
      <c r="A1" s="259" t="s">
        <v>46</v>
      </c>
      <c r="B1" s="259"/>
      <c r="C1" s="259"/>
      <c r="E1" s="258" t="s">
        <v>45</v>
      </c>
      <c r="F1" s="258"/>
      <c r="G1" s="258"/>
      <c r="H1" s="258"/>
      <c r="I1" s="258"/>
      <c r="J1" s="258"/>
      <c r="K1" s="258"/>
      <c r="L1" s="258"/>
      <c r="M1" s="258"/>
      <c r="N1" s="258"/>
      <c r="O1" s="258"/>
      <c r="P1" s="7"/>
      <c r="Q1" s="1"/>
      <c r="R1" s="3"/>
    </row>
    <row r="2" spans="1:18" ht="35.1" customHeight="1" x14ac:dyDescent="0.2">
      <c r="A2" s="1" t="s">
        <v>4</v>
      </c>
      <c r="B2" s="1" t="s">
        <v>5</v>
      </c>
      <c r="C2" s="1" t="s">
        <v>3</v>
      </c>
      <c r="E2" s="1" t="s">
        <v>22</v>
      </c>
      <c r="F2" s="1" t="s">
        <v>36</v>
      </c>
      <c r="G2" s="1" t="s">
        <v>31</v>
      </c>
      <c r="I2" s="1" t="s">
        <v>22</v>
      </c>
      <c r="J2" s="1" t="s">
        <v>34</v>
      </c>
      <c r="K2" s="1" t="s">
        <v>32</v>
      </c>
      <c r="M2" s="1" t="s">
        <v>22</v>
      </c>
      <c r="N2" s="1" t="s">
        <v>35</v>
      </c>
      <c r="O2" s="1" t="s">
        <v>33</v>
      </c>
      <c r="P2" s="3"/>
      <c r="Q2" s="3"/>
      <c r="R2" s="3"/>
    </row>
    <row r="3" spans="1:18" ht="67.5" customHeight="1" x14ac:dyDescent="0.2">
      <c r="A3" s="4" t="s">
        <v>71</v>
      </c>
      <c r="B3" s="2"/>
      <c r="C3" s="4" t="s">
        <v>6</v>
      </c>
      <c r="D3" s="260"/>
      <c r="E3" s="261" t="s">
        <v>26</v>
      </c>
      <c r="F3" s="4" t="s">
        <v>6</v>
      </c>
      <c r="I3" s="260" t="s">
        <v>27</v>
      </c>
      <c r="J3" s="4" t="s">
        <v>59</v>
      </c>
      <c r="L3" s="6"/>
      <c r="M3" s="260" t="s">
        <v>28</v>
      </c>
      <c r="N3" s="4" t="s">
        <v>25</v>
      </c>
      <c r="P3" s="3"/>
      <c r="Q3" s="3"/>
    </row>
    <row r="4" spans="1:18" ht="67.5" customHeight="1" x14ac:dyDescent="0.2">
      <c r="A4" s="4" t="s">
        <v>72</v>
      </c>
      <c r="B4" s="2"/>
      <c r="C4" s="4" t="s">
        <v>7</v>
      </c>
      <c r="D4" s="260"/>
      <c r="E4" s="261"/>
      <c r="F4" s="4" t="s">
        <v>42</v>
      </c>
      <c r="I4" s="260"/>
      <c r="J4" s="4" t="s">
        <v>41</v>
      </c>
      <c r="M4" s="260"/>
      <c r="N4" s="3" t="s">
        <v>19</v>
      </c>
      <c r="P4" s="3"/>
      <c r="Q4" s="3"/>
    </row>
    <row r="5" spans="1:18" ht="67.5" customHeight="1" x14ac:dyDescent="0.2">
      <c r="A5" s="4" t="s">
        <v>73</v>
      </c>
      <c r="B5" s="2"/>
      <c r="C5" s="4" t="s">
        <v>8</v>
      </c>
      <c r="D5" s="260"/>
      <c r="E5" s="261"/>
      <c r="F5" s="4" t="s">
        <v>61</v>
      </c>
      <c r="I5" s="260"/>
      <c r="J5" s="4" t="s">
        <v>58</v>
      </c>
      <c r="M5" s="260"/>
      <c r="N5" s="4" t="s">
        <v>40</v>
      </c>
      <c r="P5" s="3"/>
      <c r="Q5" s="3"/>
    </row>
    <row r="6" spans="1:18" ht="67.5" customHeight="1" x14ac:dyDescent="0.2">
      <c r="A6" s="4" t="s">
        <v>74</v>
      </c>
      <c r="B6" s="2"/>
      <c r="C6" s="4" t="s">
        <v>9</v>
      </c>
      <c r="E6" s="261"/>
      <c r="F6" s="4" t="s">
        <v>43</v>
      </c>
      <c r="I6" s="260"/>
      <c r="J6" s="4" t="s">
        <v>60</v>
      </c>
      <c r="Q6" s="3"/>
    </row>
    <row r="7" spans="1:18" ht="67.5" customHeight="1" x14ac:dyDescent="0.2">
      <c r="A7" s="4" t="s">
        <v>75</v>
      </c>
      <c r="B7" s="2"/>
      <c r="C7" s="4" t="s">
        <v>10</v>
      </c>
      <c r="E7" s="261"/>
      <c r="F7" s="4" t="s">
        <v>44</v>
      </c>
      <c r="J7" s="3" t="s">
        <v>19</v>
      </c>
      <c r="Q7" s="3"/>
    </row>
    <row r="8" spans="1:18" ht="67.5" customHeight="1" x14ac:dyDescent="0.2">
      <c r="A8" s="4" t="s">
        <v>68</v>
      </c>
      <c r="B8" s="2"/>
      <c r="C8" s="4" t="s">
        <v>11</v>
      </c>
      <c r="F8" s="3" t="s">
        <v>19</v>
      </c>
      <c r="Q8" s="3" t="s">
        <v>47</v>
      </c>
    </row>
    <row r="9" spans="1:18" ht="67.5" customHeight="1" x14ac:dyDescent="0.2">
      <c r="A9" s="4" t="s">
        <v>69</v>
      </c>
      <c r="B9" s="2"/>
      <c r="C9" s="4" t="s">
        <v>12</v>
      </c>
    </row>
    <row r="10" spans="1:18" ht="67.5" customHeight="1" x14ac:dyDescent="0.2">
      <c r="A10" s="4" t="s">
        <v>70</v>
      </c>
      <c r="B10" s="2"/>
      <c r="C10" s="4" t="s">
        <v>13</v>
      </c>
    </row>
    <row r="11" spans="1:18" ht="67.5" customHeight="1" x14ac:dyDescent="0.2">
      <c r="A11" s="4" t="s">
        <v>66</v>
      </c>
      <c r="B11" s="2"/>
      <c r="C11" s="4" t="s">
        <v>24</v>
      </c>
    </row>
    <row r="12" spans="1:18" ht="67.5" customHeight="1" x14ac:dyDescent="0.2">
      <c r="A12" s="4" t="s">
        <v>67</v>
      </c>
      <c r="B12" s="2"/>
      <c r="C12" s="4" t="s">
        <v>23</v>
      </c>
    </row>
    <row r="13" spans="1:18" ht="67.5" customHeight="1" x14ac:dyDescent="0.2">
      <c r="A13" s="4" t="s">
        <v>64</v>
      </c>
      <c r="B13" s="2"/>
      <c r="C13" s="4" t="s">
        <v>14</v>
      </c>
    </row>
    <row r="14" spans="1:18" ht="67.5" customHeight="1" x14ac:dyDescent="0.2">
      <c r="A14" s="4" t="s">
        <v>65</v>
      </c>
      <c r="B14" s="2"/>
      <c r="C14" s="4" t="s">
        <v>15</v>
      </c>
    </row>
    <row r="15" spans="1:18" ht="67.5" customHeight="1" x14ac:dyDescent="0.2">
      <c r="A15" s="4" t="s">
        <v>62</v>
      </c>
      <c r="B15" s="2"/>
      <c r="C15" s="4" t="s">
        <v>16</v>
      </c>
    </row>
    <row r="16" spans="1:18" ht="67.5" customHeight="1" x14ac:dyDescent="0.2">
      <c r="A16" s="4" t="s">
        <v>63</v>
      </c>
      <c r="B16" s="2"/>
      <c r="C16" s="4" t="s">
        <v>17</v>
      </c>
    </row>
    <row r="17" spans="1:3" ht="67.5" customHeight="1" x14ac:dyDescent="0.2">
      <c r="A17" s="4" t="s">
        <v>57</v>
      </c>
      <c r="B17" s="2"/>
      <c r="C17" s="4" t="s">
        <v>18</v>
      </c>
    </row>
    <row r="18" spans="1:3" ht="68.25" customHeight="1" x14ac:dyDescent="0.2">
      <c r="A18" s="3" t="s">
        <v>19</v>
      </c>
      <c r="B18" s="2"/>
      <c r="C18" s="4" t="s">
        <v>19</v>
      </c>
    </row>
    <row r="19" spans="1:3" x14ac:dyDescent="0.2">
      <c r="B19" s="2"/>
      <c r="C19" s="2"/>
    </row>
  </sheetData>
  <mergeCells count="6">
    <mergeCell ref="E1:O1"/>
    <mergeCell ref="A1:C1"/>
    <mergeCell ref="D3:D5"/>
    <mergeCell ref="E3:E7"/>
    <mergeCell ref="I3:I6"/>
    <mergeCell ref="M3:M5"/>
  </mergeCells>
  <pageMargins left="0.75" right="0.75" top="1" bottom="1" header="0" footer="0"/>
  <pageSetup paperSize="9" orientation="portrait" horizontalDpi="4294967293"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9">
    <picture r:id="rId1"/>
    <picture r:id="rId2"/>
  </sheetPr>
  <dimension ref="A1"/>
  <sheetViews>
    <sheetView workbookViewId="0"/>
  </sheetViews>
  <sheetFormatPr baseColWidth="10"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7">
    <picture r:id="rId5"/>
  </sheetPr>
  <dimension ref="A1:X16"/>
  <sheetViews>
    <sheetView showGridLines="0" zoomScale="80" zoomScaleNormal="80" zoomScaleSheetLayoutView="100" workbookViewId="0">
      <selection activeCell="Z8" sqref="Z8"/>
    </sheetView>
  </sheetViews>
  <sheetFormatPr baseColWidth="10" defaultColWidth="11.42578125" defaultRowHeight="12.75" x14ac:dyDescent="0.2"/>
  <cols>
    <col min="1" max="2" width="5.7109375" style="116" customWidth="1"/>
    <col min="3" max="3" width="7.28515625" style="116" customWidth="1"/>
    <col min="4" max="5" width="5.7109375" style="116" customWidth="1"/>
    <col min="6" max="6" width="3.5703125" style="116" customWidth="1"/>
    <col min="7" max="7" width="3.7109375" style="116" customWidth="1"/>
    <col min="8" max="8" width="5.7109375" style="116" customWidth="1"/>
    <col min="9" max="9" width="4.7109375" style="116" customWidth="1"/>
    <col min="10" max="10" width="3.7109375" style="116" customWidth="1"/>
    <col min="11" max="11" width="4.7109375" style="116" customWidth="1"/>
    <col min="12" max="12" width="8.140625" style="116" customWidth="1"/>
    <col min="13" max="15" width="4.7109375" style="116" customWidth="1"/>
    <col min="16" max="16" width="3.42578125" style="116" customWidth="1"/>
    <col min="17" max="17" width="3.140625" style="116" customWidth="1"/>
    <col min="18" max="18" width="10.85546875" style="116" customWidth="1"/>
    <col min="19" max="19" width="7.7109375" style="116" customWidth="1"/>
    <col min="20" max="20" width="5.7109375" style="116" customWidth="1"/>
    <col min="21" max="21" width="5.42578125" style="116" customWidth="1"/>
    <col min="22" max="22" width="7.5703125" style="116" customWidth="1"/>
    <col min="23" max="16384" width="11.42578125" style="116"/>
  </cols>
  <sheetData>
    <row r="1" spans="1:24" ht="22.5" customHeight="1" x14ac:dyDescent="0.2">
      <c r="A1" s="262"/>
      <c r="B1" s="262"/>
      <c r="C1" s="263"/>
      <c r="D1" s="272">
        <f>INDEX('Inventario SQ'!B8:B1468,U3)</f>
        <v>0</v>
      </c>
      <c r="E1" s="273"/>
      <c r="F1" s="273"/>
      <c r="G1" s="273"/>
      <c r="H1" s="273"/>
      <c r="I1" s="273"/>
      <c r="J1" s="273"/>
      <c r="K1" s="273"/>
      <c r="L1" s="273"/>
      <c r="M1" s="273"/>
      <c r="N1" s="273"/>
      <c r="O1" s="273"/>
      <c r="P1" s="273"/>
      <c r="Q1" s="273"/>
      <c r="R1" s="273"/>
      <c r="S1" s="274"/>
      <c r="T1" s="264" t="s">
        <v>51</v>
      </c>
      <c r="U1" s="265"/>
      <c r="V1" s="266"/>
    </row>
    <row r="2" spans="1:24" ht="22.5" customHeight="1" x14ac:dyDescent="0.2">
      <c r="A2" s="262"/>
      <c r="B2" s="262"/>
      <c r="C2" s="263"/>
      <c r="D2" s="264" t="s">
        <v>817</v>
      </c>
      <c r="E2" s="265"/>
      <c r="F2" s="265"/>
      <c r="G2" s="265"/>
      <c r="H2" s="266"/>
      <c r="I2" s="267">
        <f>INDEX('Inventario SQ'!D8:D1358,U3)</f>
        <v>0</v>
      </c>
      <c r="J2" s="268"/>
      <c r="K2" s="268"/>
      <c r="L2" s="269"/>
      <c r="M2" s="275" cm="1">
        <f t="array" ref="M2">INDEX('Inventario SQ'!L8:L423,U3)</f>
        <v>0</v>
      </c>
      <c r="N2" s="275"/>
      <c r="O2" s="275"/>
      <c r="P2" s="275"/>
      <c r="Q2" s="275"/>
      <c r="R2" s="275"/>
      <c r="S2" s="275"/>
      <c r="T2" s="267">
        <f>INDEX('Inventario SQ'!H8:H1119,U3)</f>
        <v>0</v>
      </c>
      <c r="U2" s="268"/>
      <c r="V2" s="269"/>
    </row>
    <row r="3" spans="1:24" s="118" customFormat="1" ht="6" customHeight="1" x14ac:dyDescent="0.2">
      <c r="A3" s="270"/>
      <c r="B3" s="270"/>
      <c r="C3" s="270"/>
      <c r="D3" s="270"/>
      <c r="E3" s="270"/>
      <c r="F3" s="270"/>
      <c r="G3" s="270"/>
      <c r="H3" s="270"/>
      <c r="I3" s="270"/>
      <c r="J3" s="270"/>
      <c r="K3" s="270"/>
      <c r="L3" s="270"/>
      <c r="M3" s="270"/>
      <c r="N3" s="270"/>
      <c r="O3" s="270"/>
      <c r="P3" s="270"/>
      <c r="Q3" s="270"/>
      <c r="R3" s="270"/>
      <c r="S3" s="270"/>
      <c r="T3" s="270"/>
      <c r="U3" s="271">
        <v>1</v>
      </c>
      <c r="V3" s="271"/>
    </row>
    <row r="4" spans="1:24" ht="36" customHeight="1" x14ac:dyDescent="0.2">
      <c r="A4" s="284" t="s">
        <v>48</v>
      </c>
      <c r="B4" s="285"/>
      <c r="C4" s="286"/>
      <c r="D4" s="287">
        <f>INDEX('Inventario SQ'!AD8:AD1358,U3)</f>
        <v>0</v>
      </c>
      <c r="E4" s="288"/>
      <c r="F4" s="289"/>
      <c r="G4" s="290" t="s">
        <v>814</v>
      </c>
      <c r="H4" s="290"/>
      <c r="I4" s="290"/>
      <c r="J4" s="291">
        <f>INDEX('Inventario SQ'!F8:F1358,U3)</f>
        <v>0</v>
      </c>
      <c r="K4" s="291"/>
      <c r="L4" s="291"/>
      <c r="M4" s="292" t="s">
        <v>815</v>
      </c>
      <c r="N4" s="293"/>
      <c r="O4" s="293"/>
      <c r="P4" s="293"/>
      <c r="Q4" s="294"/>
      <c r="R4" s="287">
        <f>INDEX('Inventario SQ'!G8:G1358,U3)</f>
        <v>0</v>
      </c>
      <c r="S4" s="289"/>
      <c r="T4" s="264" t="s">
        <v>54</v>
      </c>
      <c r="U4" s="265"/>
      <c r="V4" s="266"/>
    </row>
    <row r="5" spans="1:24" ht="15" customHeight="1" x14ac:dyDescent="0.2">
      <c r="A5" s="276" t="s">
        <v>88</v>
      </c>
      <c r="B5" s="277"/>
      <c r="C5" s="277"/>
      <c r="D5" s="277"/>
      <c r="E5" s="277"/>
      <c r="F5" s="278"/>
      <c r="G5" s="279" t="s">
        <v>53</v>
      </c>
      <c r="H5" s="279"/>
      <c r="I5" s="279"/>
      <c r="J5" s="279"/>
      <c r="K5" s="279"/>
      <c r="L5" s="279"/>
      <c r="M5" s="279"/>
      <c r="N5" s="279"/>
      <c r="O5" s="279"/>
      <c r="P5" s="279"/>
      <c r="Q5" s="279"/>
      <c r="R5" s="279"/>
      <c r="S5" s="279"/>
      <c r="T5" s="280">
        <f>INDEX('Inventario SQ'!J8:J1378,U3)</f>
        <v>0</v>
      </c>
      <c r="U5" s="280"/>
      <c r="V5" s="280"/>
      <c r="W5" s="119"/>
    </row>
    <row r="6" spans="1:24" ht="30" customHeight="1" x14ac:dyDescent="0.2">
      <c r="A6" s="120"/>
      <c r="D6" s="121"/>
      <c r="E6" s="122"/>
      <c r="F6" s="123"/>
      <c r="G6" s="281">
        <f>INDEX('Inventario SQ'!AE8:AE1358,U3)</f>
        <v>0</v>
      </c>
      <c r="H6" s="281"/>
      <c r="I6" s="281"/>
      <c r="J6" s="281"/>
      <c r="K6" s="281"/>
      <c r="L6" s="281"/>
      <c r="M6" s="281"/>
      <c r="N6" s="281"/>
      <c r="O6" s="281"/>
      <c r="P6" s="281"/>
      <c r="Q6" s="281"/>
      <c r="R6" s="281"/>
      <c r="S6" s="281"/>
      <c r="T6" s="280"/>
      <c r="U6" s="280"/>
      <c r="V6" s="280"/>
      <c r="W6" s="119"/>
    </row>
    <row r="7" spans="1:24" ht="30" customHeight="1" x14ac:dyDescent="0.2">
      <c r="A7" s="120"/>
      <c r="C7" s="124"/>
      <c r="F7" s="125"/>
      <c r="G7" s="282"/>
      <c r="H7" s="282"/>
      <c r="I7" s="282"/>
      <c r="J7" s="282"/>
      <c r="K7" s="282"/>
      <c r="L7" s="282"/>
      <c r="M7" s="282"/>
      <c r="N7" s="282"/>
      <c r="O7" s="282"/>
      <c r="P7" s="282"/>
      <c r="Q7" s="282"/>
      <c r="R7" s="282"/>
      <c r="S7" s="282"/>
      <c r="T7" s="280"/>
      <c r="U7" s="280"/>
      <c r="V7" s="280"/>
    </row>
    <row r="8" spans="1:24" ht="30" customHeight="1" x14ac:dyDescent="0.2">
      <c r="A8" s="120"/>
      <c r="B8" s="126"/>
      <c r="C8" s="127"/>
      <c r="D8" s="124"/>
      <c r="F8" s="125"/>
      <c r="G8" s="283"/>
      <c r="H8" s="283"/>
      <c r="I8" s="283"/>
      <c r="J8" s="283"/>
      <c r="K8" s="283"/>
      <c r="L8" s="283"/>
      <c r="M8" s="283"/>
      <c r="N8" s="283"/>
      <c r="O8" s="283"/>
      <c r="P8" s="283"/>
      <c r="Q8" s="283"/>
      <c r="R8" s="283"/>
      <c r="S8" s="283"/>
      <c r="T8" s="280"/>
      <c r="U8" s="280"/>
      <c r="V8" s="280"/>
    </row>
    <row r="9" spans="1:24" ht="15" customHeight="1" x14ac:dyDescent="0.2">
      <c r="A9" s="128">
        <f>INDEX('Inventario SQ'!Z$8:Z$118,$U$3)</f>
        <v>0</v>
      </c>
      <c r="B9" s="129"/>
      <c r="C9" s="130"/>
      <c r="D9" s="129"/>
      <c r="E9" s="130"/>
      <c r="F9" s="131"/>
      <c r="G9" s="295" t="s">
        <v>52</v>
      </c>
      <c r="H9" s="295"/>
      <c r="I9" s="295"/>
      <c r="J9" s="295"/>
      <c r="K9" s="295"/>
      <c r="L9" s="295"/>
      <c r="M9" s="295"/>
      <c r="N9" s="295"/>
      <c r="O9" s="295"/>
      <c r="P9" s="295"/>
      <c r="Q9" s="295"/>
      <c r="R9" s="295"/>
      <c r="S9" s="295"/>
      <c r="T9" s="295"/>
      <c r="U9" s="295"/>
      <c r="V9" s="296"/>
    </row>
    <row r="10" spans="1:24" ht="30" customHeight="1" x14ac:dyDescent="0.25">
      <c r="A10" s="128">
        <f>INDEX('Inventario SQ'!Y$8:Y$118,$U$3)</f>
        <v>0</v>
      </c>
      <c r="B10" s="130"/>
      <c r="C10" s="130"/>
      <c r="D10" s="130"/>
      <c r="E10" s="130"/>
      <c r="F10" s="125"/>
      <c r="G10" s="281">
        <f>INDEX('Inventario SQ'!AF8:AF1378,U3)</f>
        <v>0</v>
      </c>
      <c r="H10" s="281"/>
      <c r="I10" s="281"/>
      <c r="J10" s="281"/>
      <c r="K10" s="281"/>
      <c r="L10" s="281"/>
      <c r="M10" s="281"/>
      <c r="N10" s="281"/>
      <c r="O10" s="281"/>
      <c r="P10" s="281"/>
      <c r="Q10" s="281"/>
      <c r="R10" s="281"/>
      <c r="S10" s="281"/>
      <c r="T10" s="281"/>
      <c r="U10" s="281"/>
      <c r="V10" s="297"/>
      <c r="X10" s="132"/>
    </row>
    <row r="11" spans="1:24" ht="30" customHeight="1" x14ac:dyDescent="0.2">
      <c r="A11" s="128">
        <f>INDEX('Inventario SQ'!AA$8:AA$118,$U$3)</f>
        <v>0</v>
      </c>
      <c r="B11" s="129"/>
      <c r="C11" s="133" t="e">
        <f>INDEX('Inventario SQ'!#REF!,U3)</f>
        <v>#REF!</v>
      </c>
      <c r="D11" s="129"/>
      <c r="E11" s="129"/>
      <c r="F11" s="134"/>
      <c r="G11" s="282"/>
      <c r="H11" s="282"/>
      <c r="I11" s="282"/>
      <c r="J11" s="282"/>
      <c r="K11" s="282"/>
      <c r="L11" s="282"/>
      <c r="M11" s="282"/>
      <c r="N11" s="282"/>
      <c r="O11" s="282"/>
      <c r="P11" s="282"/>
      <c r="Q11" s="282"/>
      <c r="R11" s="282"/>
      <c r="S11" s="282"/>
      <c r="T11" s="282"/>
      <c r="U11" s="282"/>
      <c r="V11" s="298"/>
    </row>
    <row r="12" spans="1:24" ht="33" customHeight="1" x14ac:dyDescent="0.2">
      <c r="A12" s="128">
        <f>INDEX('Inventario SQ'!AB$8:AB$118,$U$3)</f>
        <v>0</v>
      </c>
      <c r="B12" s="129"/>
      <c r="C12" s="129"/>
      <c r="D12" s="129"/>
      <c r="E12" s="129"/>
      <c r="F12" s="134"/>
      <c r="G12" s="283"/>
      <c r="H12" s="283"/>
      <c r="I12" s="283"/>
      <c r="J12" s="283"/>
      <c r="K12" s="283"/>
      <c r="L12" s="283"/>
      <c r="M12" s="283"/>
      <c r="N12" s="283"/>
      <c r="O12" s="283"/>
      <c r="P12" s="283"/>
      <c r="Q12" s="283"/>
      <c r="R12" s="283"/>
      <c r="S12" s="283"/>
      <c r="T12" s="283"/>
      <c r="U12" s="283"/>
      <c r="V12" s="299"/>
    </row>
    <row r="13" spans="1:24" ht="24" customHeight="1" x14ac:dyDescent="0.2">
      <c r="A13" s="300">
        <f>INDEX('Inventario SQ'!AC$8:AC$118,$U$3)</f>
        <v>0</v>
      </c>
      <c r="B13" s="301"/>
      <c r="C13" s="301"/>
      <c r="D13" s="301"/>
      <c r="E13" s="301"/>
      <c r="F13" s="302"/>
      <c r="G13" s="306" t="s">
        <v>49</v>
      </c>
      <c r="H13" s="306"/>
      <c r="I13" s="306"/>
      <c r="J13" s="306"/>
      <c r="K13" s="306"/>
      <c r="L13" s="306"/>
      <c r="M13" s="306"/>
      <c r="N13" s="306"/>
      <c r="O13" s="307" t="s">
        <v>50</v>
      </c>
      <c r="P13" s="307"/>
      <c r="Q13" s="307"/>
      <c r="R13" s="307"/>
      <c r="S13" s="307"/>
      <c r="T13" s="307"/>
      <c r="U13" s="307"/>
      <c r="V13" s="307"/>
    </row>
    <row r="14" spans="1:24" ht="12" customHeight="1" x14ac:dyDescent="0.2">
      <c r="A14" s="300"/>
      <c r="B14" s="301"/>
      <c r="C14" s="301"/>
      <c r="D14" s="301"/>
      <c r="E14" s="301"/>
      <c r="F14" s="302"/>
      <c r="G14" s="308"/>
      <c r="H14" s="308"/>
      <c r="I14" s="308"/>
      <c r="J14" s="308"/>
      <c r="K14" s="308"/>
      <c r="L14" s="308"/>
      <c r="M14" s="308"/>
      <c r="N14" s="308"/>
      <c r="O14" s="311">
        <f>INDEX('Inventario SQ'!O8:O1119,U3)</f>
        <v>0</v>
      </c>
      <c r="P14" s="312"/>
      <c r="Q14" s="312"/>
      <c r="R14" s="312"/>
      <c r="S14" s="312"/>
      <c r="T14" s="312"/>
      <c r="U14" s="312"/>
      <c r="V14" s="313"/>
    </row>
    <row r="15" spans="1:24" ht="54" customHeight="1" x14ac:dyDescent="0.2">
      <c r="A15" s="300"/>
      <c r="B15" s="301"/>
      <c r="C15" s="301"/>
      <c r="D15" s="301"/>
      <c r="E15" s="301"/>
      <c r="F15" s="302"/>
      <c r="O15" s="314"/>
      <c r="P15" s="315"/>
      <c r="Q15" s="315"/>
      <c r="R15" s="315"/>
      <c r="S15" s="315"/>
      <c r="T15" s="315"/>
      <c r="U15" s="315"/>
      <c r="V15" s="316"/>
    </row>
    <row r="16" spans="1:24" ht="37.15" customHeight="1" x14ac:dyDescent="0.2">
      <c r="A16" s="303"/>
      <c r="B16" s="304"/>
      <c r="C16" s="304"/>
      <c r="D16" s="304"/>
      <c r="E16" s="304"/>
      <c r="F16" s="305"/>
      <c r="G16" s="309">
        <f>INDEX('Inventario SQ'!AG8:AG1119,U3)</f>
        <v>0</v>
      </c>
      <c r="H16" s="309"/>
      <c r="I16" s="309">
        <f>INDEX('Inventario SQ'!AH8:AH1119,U3)</f>
        <v>0</v>
      </c>
      <c r="J16" s="309"/>
      <c r="K16" s="310">
        <f>INDEX('Inventario SQ'!AI8:AI1119,U3)</f>
        <v>0</v>
      </c>
      <c r="L16" s="310"/>
      <c r="M16" s="310">
        <f>INDEX('Inventario SQ'!AJ8:AJ1119,U3)</f>
        <v>0</v>
      </c>
      <c r="N16" s="310"/>
      <c r="O16" s="317"/>
      <c r="P16" s="318"/>
      <c r="Q16" s="318"/>
      <c r="R16" s="318"/>
      <c r="S16" s="318"/>
      <c r="T16" s="318"/>
      <c r="U16" s="318"/>
      <c r="V16" s="319"/>
    </row>
  </sheetData>
  <mergeCells count="31">
    <mergeCell ref="G9:V9"/>
    <mergeCell ref="G10:V12"/>
    <mergeCell ref="A13:F16"/>
    <mergeCell ref="G13:N13"/>
    <mergeCell ref="O13:V13"/>
    <mergeCell ref="G14:N14"/>
    <mergeCell ref="G16:H16"/>
    <mergeCell ref="I16:J16"/>
    <mergeCell ref="K16:L16"/>
    <mergeCell ref="M16:N16"/>
    <mergeCell ref="O14:V16"/>
    <mergeCell ref="T4:V4"/>
    <mergeCell ref="A5:F5"/>
    <mergeCell ref="G5:S5"/>
    <mergeCell ref="T5:V8"/>
    <mergeCell ref="G6:S8"/>
    <mergeCell ref="A4:C4"/>
    <mergeCell ref="D4:F4"/>
    <mergeCell ref="G4:I4"/>
    <mergeCell ref="J4:L4"/>
    <mergeCell ref="M4:Q4"/>
    <mergeCell ref="R4:S4"/>
    <mergeCell ref="A1:C2"/>
    <mergeCell ref="T1:V1"/>
    <mergeCell ref="T2:V2"/>
    <mergeCell ref="A3:T3"/>
    <mergeCell ref="U3:V3"/>
    <mergeCell ref="D1:S1"/>
    <mergeCell ref="M2:S2"/>
    <mergeCell ref="D2:H2"/>
    <mergeCell ref="I2:L2"/>
  </mergeCells>
  <conditionalFormatting sqref="C11:D11">
    <cfRule type="cellIs" dxfId="3" priority="2" stopIfTrue="1" operator="equal">
      <formula>0</formula>
    </cfRule>
  </conditionalFormatting>
  <conditionalFormatting sqref="A4">
    <cfRule type="cellIs" dxfId="2" priority="1" stopIfTrue="1" operator="equal">
      <formula>0</formula>
    </cfRule>
  </conditionalFormatting>
  <printOptions horizontalCentered="1"/>
  <pageMargins left="0.25" right="0.25" top="0.75" bottom="0.75" header="0.3" footer="0.3"/>
  <pageSetup scale="40" orientation="portrait" horizontalDpi="4294967295"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9937" r:id="rId4" name="Drop Down 1">
              <controlPr defaultSize="0" print="0" autoLine="0" autoPict="0">
                <anchor>
                  <from>
                    <xdr:col>22</xdr:col>
                    <xdr:colOff>523875</xdr:colOff>
                    <xdr:row>1</xdr:row>
                    <xdr:rowOff>66675</xdr:rowOff>
                  </from>
                  <to>
                    <xdr:col>24</xdr:col>
                    <xdr:colOff>533400</xdr:colOff>
                    <xdr:row>1</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8">
    <picture r:id="rId5"/>
  </sheetPr>
  <dimension ref="A1:K13"/>
  <sheetViews>
    <sheetView showGridLines="0" zoomScale="80" zoomScaleNormal="80" zoomScaleSheetLayoutView="100" workbookViewId="0">
      <selection activeCell="N12" sqref="N12"/>
    </sheetView>
  </sheetViews>
  <sheetFormatPr baseColWidth="10" defaultColWidth="11.42578125" defaultRowHeight="12.75" x14ac:dyDescent="0.2"/>
  <cols>
    <col min="1" max="2" width="5.7109375" style="116" customWidth="1"/>
    <col min="3" max="3" width="7.28515625" style="116" customWidth="1"/>
    <col min="4" max="5" width="5.7109375" style="116" customWidth="1"/>
    <col min="6" max="6" width="37.5703125" style="116" customWidth="1"/>
    <col min="7" max="7" width="5.7109375" style="116" customWidth="1"/>
    <col min="8" max="8" width="5.42578125" style="116" customWidth="1"/>
    <col min="9" max="9" width="7.5703125" style="116" customWidth="1"/>
    <col min="10" max="16384" width="11.42578125" style="116"/>
  </cols>
  <sheetData>
    <row r="1" spans="1:11" ht="22.5" customHeight="1" x14ac:dyDescent="0.2">
      <c r="A1" s="262"/>
      <c r="B1" s="262"/>
      <c r="C1" s="263"/>
      <c r="D1" s="326">
        <f>INDEX('Inventario SQ'!B8:B1468,H3)</f>
        <v>0</v>
      </c>
      <c r="E1" s="327"/>
      <c r="F1" s="328"/>
      <c r="G1" s="322"/>
      <c r="H1" s="322"/>
      <c r="I1" s="322"/>
    </row>
    <row r="2" spans="1:11" ht="22.5" customHeight="1" x14ac:dyDescent="0.2">
      <c r="A2" s="262"/>
      <c r="B2" s="262"/>
      <c r="C2" s="263"/>
      <c r="D2" s="329"/>
      <c r="E2" s="330"/>
      <c r="F2" s="331"/>
      <c r="G2" s="325"/>
      <c r="H2" s="325"/>
      <c r="I2" s="325"/>
    </row>
    <row r="3" spans="1:11" s="118" customFormat="1" ht="23.25" customHeight="1" x14ac:dyDescent="0.2">
      <c r="A3" s="323" cm="1">
        <f t="array" ref="A3">INDEX('Inventario SQ'!L8:L423,H3)</f>
        <v>0</v>
      </c>
      <c r="B3" s="295"/>
      <c r="C3" s="295"/>
      <c r="D3" s="295"/>
      <c r="E3" s="295"/>
      <c r="F3" s="296"/>
      <c r="G3" s="117"/>
      <c r="H3" s="332">
        <v>1</v>
      </c>
      <c r="I3" s="332"/>
    </row>
    <row r="4" spans="1:11" ht="36" customHeight="1" x14ac:dyDescent="0.2">
      <c r="A4" s="284" t="s">
        <v>48</v>
      </c>
      <c r="B4" s="285"/>
      <c r="C4" s="286"/>
      <c r="D4" s="287">
        <f>INDEX('Inventario SQ'!AD8:AD1358,H3)</f>
        <v>0</v>
      </c>
      <c r="E4" s="288"/>
      <c r="F4" s="289"/>
      <c r="G4" s="322"/>
      <c r="H4" s="322"/>
      <c r="I4" s="322"/>
    </row>
    <row r="5" spans="1:11" ht="36" customHeight="1" x14ac:dyDescent="0.2">
      <c r="A5" s="321" t="s">
        <v>817</v>
      </c>
      <c r="B5" s="321"/>
      <c r="C5" s="321"/>
      <c r="D5" s="287">
        <f>INDEX('Inventario SQ'!D8:D1358,H3)</f>
        <v>0</v>
      </c>
      <c r="E5" s="288"/>
      <c r="F5" s="289"/>
      <c r="G5" s="140"/>
      <c r="H5" s="140"/>
      <c r="I5" s="140"/>
    </row>
    <row r="6" spans="1:11" ht="15" customHeight="1" x14ac:dyDescent="0.2">
      <c r="A6" s="276" t="s">
        <v>88</v>
      </c>
      <c r="B6" s="277"/>
      <c r="C6" s="277"/>
      <c r="D6" s="277"/>
      <c r="E6" s="277"/>
      <c r="F6" s="278"/>
      <c r="G6" s="324"/>
      <c r="H6" s="324"/>
      <c r="I6" s="324"/>
      <c r="J6" s="119"/>
    </row>
    <row r="7" spans="1:11" ht="30" customHeight="1" x14ac:dyDescent="0.2">
      <c r="A7" s="120"/>
      <c r="D7" s="121"/>
      <c r="E7" s="122"/>
      <c r="F7" s="123"/>
      <c r="G7" s="324"/>
      <c r="H7" s="324"/>
      <c r="I7" s="324"/>
      <c r="J7" s="119"/>
    </row>
    <row r="8" spans="1:11" ht="30" customHeight="1" x14ac:dyDescent="0.2">
      <c r="A8" s="120"/>
      <c r="C8" s="124"/>
      <c r="F8" s="125"/>
      <c r="G8" s="324"/>
      <c r="H8" s="324"/>
      <c r="I8" s="324"/>
    </row>
    <row r="9" spans="1:11" ht="30" customHeight="1" x14ac:dyDescent="0.2">
      <c r="A9" s="120"/>
      <c r="B9" s="126"/>
      <c r="C9" s="127"/>
      <c r="D9" s="124"/>
      <c r="F9" s="125"/>
      <c r="G9" s="324"/>
      <c r="H9" s="324"/>
      <c r="I9" s="324"/>
    </row>
    <row r="10" spans="1:11" ht="15" customHeight="1" x14ac:dyDescent="0.2">
      <c r="A10" s="128">
        <f>INDEX('Inventario SQ'!Z$8:Z$118,$H$3)</f>
        <v>0</v>
      </c>
      <c r="B10" s="129"/>
      <c r="C10" s="130"/>
      <c r="D10" s="129"/>
      <c r="E10" s="130"/>
      <c r="F10" s="131"/>
      <c r="G10" s="320"/>
      <c r="H10" s="320"/>
      <c r="I10" s="320"/>
    </row>
    <row r="11" spans="1:11" ht="30" customHeight="1" x14ac:dyDescent="0.25">
      <c r="A11" s="128">
        <f>INDEX('Inventario SQ'!Y$8:Y$118,$H$3)</f>
        <v>0</v>
      </c>
      <c r="B11" s="130"/>
      <c r="C11" s="130"/>
      <c r="D11" s="130"/>
      <c r="E11" s="130"/>
      <c r="F11" s="125"/>
      <c r="G11" s="282"/>
      <c r="H11" s="282"/>
      <c r="I11" s="282"/>
      <c r="K11" s="132"/>
    </row>
    <row r="12" spans="1:11" ht="30" customHeight="1" x14ac:dyDescent="0.2">
      <c r="A12" s="128">
        <f>INDEX('Inventario SQ'!AA$8:AA$118,$H$3)</f>
        <v>0</v>
      </c>
      <c r="B12" s="129"/>
      <c r="C12" s="133" t="e">
        <f>INDEX('Inventario SQ'!#REF!,H3)</f>
        <v>#REF!</v>
      </c>
      <c r="D12" s="129"/>
      <c r="E12" s="129"/>
      <c r="F12" s="134"/>
      <c r="G12" s="282"/>
      <c r="H12" s="282"/>
      <c r="I12" s="282"/>
    </row>
    <row r="13" spans="1:11" x14ac:dyDescent="0.2">
      <c r="A13" s="178"/>
      <c r="B13" s="179"/>
      <c r="C13" s="179"/>
      <c r="D13" s="179"/>
      <c r="E13" s="179"/>
      <c r="F13" s="180"/>
    </row>
  </sheetData>
  <mergeCells count="15">
    <mergeCell ref="A3:F3"/>
    <mergeCell ref="A6:F6"/>
    <mergeCell ref="G6:I9"/>
    <mergeCell ref="A1:C2"/>
    <mergeCell ref="G1:I1"/>
    <mergeCell ref="G2:I2"/>
    <mergeCell ref="D1:F2"/>
    <mergeCell ref="H3:I3"/>
    <mergeCell ref="G10:I10"/>
    <mergeCell ref="G11:I12"/>
    <mergeCell ref="A5:C5"/>
    <mergeCell ref="D5:F5"/>
    <mergeCell ref="A4:C4"/>
    <mergeCell ref="D4:F4"/>
    <mergeCell ref="G4:I4"/>
  </mergeCells>
  <conditionalFormatting sqref="C12:D12">
    <cfRule type="cellIs" dxfId="1" priority="2" stopIfTrue="1" operator="equal">
      <formula>0</formula>
    </cfRule>
  </conditionalFormatting>
  <conditionalFormatting sqref="A4:A5">
    <cfRule type="cellIs" dxfId="0" priority="1" stopIfTrue="1" operator="equal">
      <formula>0</formula>
    </cfRule>
  </conditionalFormatting>
  <printOptions horizontalCentered="1"/>
  <pageMargins left="0.25" right="0.25" top="0.75" bottom="0.75" header="0.3" footer="0.3"/>
  <pageSetup scale="40" orientation="portrait" horizontalDpi="4294967295"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0417" r:id="rId4" name="Drop Down 1">
              <controlPr defaultSize="0" print="0" autoLine="0" autoPict="0">
                <anchor>
                  <from>
                    <xdr:col>12</xdr:col>
                    <xdr:colOff>638175</xdr:colOff>
                    <xdr:row>1</xdr:row>
                    <xdr:rowOff>76200</xdr:rowOff>
                  </from>
                  <to>
                    <xdr:col>14</xdr:col>
                    <xdr:colOff>647700</xdr:colOff>
                    <xdr:row>1</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K41"/>
  <sheetViews>
    <sheetView workbookViewId="0">
      <selection activeCell="A5" sqref="A5:E5"/>
    </sheetView>
  </sheetViews>
  <sheetFormatPr baseColWidth="10" defaultColWidth="11.42578125" defaultRowHeight="12.75" x14ac:dyDescent="0.2"/>
  <cols>
    <col min="1" max="2" width="11.42578125" style="86"/>
    <col min="3" max="3" width="41.5703125" style="86" customWidth="1"/>
    <col min="4" max="4" width="16.140625" style="86" customWidth="1"/>
    <col min="5" max="16384" width="11.42578125" style="86"/>
  </cols>
  <sheetPr>
    <picture r:id="rId3"/>
  </sheetPr>
  <sheetData>
    <row r="1" spans="1:9" ht="19.5" customHeight="1" x14ac:dyDescent="0.2">
      <c r="A1" s="222"/>
      <c r="B1" s="335" t="s">
        <v>3124</v>
      </c>
      <c r="C1" s="336"/>
      <c r="D1" s="81" t="s">
        <v>3121</v>
      </c>
      <c r="E1" s="199" t="str">
        <f>+Instructivo!F1</f>
        <v>FGL 010</v>
      </c>
    </row>
    <row r="2" spans="1:9" ht="16.5" x14ac:dyDescent="0.2">
      <c r="A2" s="222"/>
      <c r="B2" s="337"/>
      <c r="C2" s="338"/>
      <c r="D2" s="82" t="s">
        <v>3122</v>
      </c>
      <c r="E2" s="199" t="str">
        <f>+Instructivo!F2</f>
        <v>09</v>
      </c>
    </row>
    <row r="3" spans="1:9" ht="16.5" x14ac:dyDescent="0.2">
      <c r="A3" s="222"/>
      <c r="B3" s="339"/>
      <c r="C3" s="340"/>
      <c r="D3" s="81" t="s">
        <v>3123</v>
      </c>
      <c r="E3" s="199" t="str">
        <f>+Instructivo!F3</f>
        <v>28-08-2023</v>
      </c>
    </row>
    <row r="5" spans="1:9" ht="52.5" customHeight="1" x14ac:dyDescent="0.2">
      <c r="A5" s="334" t="s">
        <v>836</v>
      </c>
      <c r="B5" s="334"/>
      <c r="C5" s="334"/>
      <c r="D5" s="334"/>
      <c r="E5" s="334"/>
      <c r="F5" s="85"/>
      <c r="G5" s="85"/>
      <c r="H5" s="85"/>
      <c r="I5" s="85"/>
    </row>
    <row r="8" spans="1:9" ht="25.5" customHeight="1" x14ac:dyDescent="0.2">
      <c r="A8" s="103" t="s">
        <v>0</v>
      </c>
      <c r="B8" s="103" t="s">
        <v>3130</v>
      </c>
      <c r="C8" s="103" t="s">
        <v>837</v>
      </c>
      <c r="D8" s="334" t="s">
        <v>873</v>
      </c>
      <c r="E8" s="334"/>
    </row>
    <row r="9" spans="1:9" ht="16.5" x14ac:dyDescent="0.2">
      <c r="A9" s="114">
        <v>1</v>
      </c>
      <c r="B9" s="114" t="s">
        <v>3131</v>
      </c>
      <c r="C9" s="115" t="s">
        <v>838</v>
      </c>
      <c r="D9" s="333" t="s">
        <v>875</v>
      </c>
      <c r="E9" s="333"/>
    </row>
    <row r="10" spans="1:9" ht="16.5" x14ac:dyDescent="0.2">
      <c r="A10" s="114">
        <v>2</v>
      </c>
      <c r="B10" s="114" t="s">
        <v>3132</v>
      </c>
      <c r="C10" s="115" t="s">
        <v>839</v>
      </c>
      <c r="D10" s="333" t="s">
        <v>874</v>
      </c>
      <c r="E10" s="333"/>
    </row>
    <row r="11" spans="1:9" ht="16.5" x14ac:dyDescent="0.2">
      <c r="A11" s="114">
        <v>3</v>
      </c>
      <c r="B11" s="114" t="s">
        <v>3133</v>
      </c>
      <c r="C11" s="115" t="s">
        <v>840</v>
      </c>
      <c r="D11" s="333" t="s">
        <v>874</v>
      </c>
      <c r="E11" s="333"/>
    </row>
    <row r="12" spans="1:9" ht="16.5" x14ac:dyDescent="0.2">
      <c r="A12" s="114">
        <v>4</v>
      </c>
      <c r="B12" s="114" t="s">
        <v>3134</v>
      </c>
      <c r="C12" s="115" t="s">
        <v>841</v>
      </c>
      <c r="D12" s="333" t="s">
        <v>874</v>
      </c>
      <c r="E12" s="333"/>
    </row>
    <row r="13" spans="1:9" ht="16.5" x14ac:dyDescent="0.2">
      <c r="A13" s="114">
        <v>5</v>
      </c>
      <c r="B13" s="114" t="s">
        <v>3135</v>
      </c>
      <c r="C13" s="115" t="s">
        <v>842</v>
      </c>
      <c r="D13" s="333" t="s">
        <v>874</v>
      </c>
      <c r="E13" s="333"/>
    </row>
    <row r="14" spans="1:9" ht="16.5" x14ac:dyDescent="0.2">
      <c r="A14" s="114">
        <v>6</v>
      </c>
      <c r="B14" s="114" t="s">
        <v>3136</v>
      </c>
      <c r="C14" s="115" t="s">
        <v>843</v>
      </c>
      <c r="D14" s="333" t="s">
        <v>874</v>
      </c>
      <c r="E14" s="333"/>
    </row>
    <row r="15" spans="1:9" ht="16.5" x14ac:dyDescent="0.2">
      <c r="A15" s="114">
        <v>7</v>
      </c>
      <c r="B15" s="114" t="s">
        <v>3137</v>
      </c>
      <c r="C15" s="115" t="s">
        <v>844</v>
      </c>
      <c r="D15" s="333" t="s">
        <v>874</v>
      </c>
      <c r="E15" s="333"/>
    </row>
    <row r="16" spans="1:9" ht="16.5" x14ac:dyDescent="0.2">
      <c r="A16" s="114">
        <v>8</v>
      </c>
      <c r="B16" s="114" t="s">
        <v>3138</v>
      </c>
      <c r="C16" s="115" t="s">
        <v>845</v>
      </c>
      <c r="D16" s="333" t="s">
        <v>871</v>
      </c>
      <c r="E16" s="333"/>
    </row>
    <row r="17" spans="1:5" ht="16.5" x14ac:dyDescent="0.2">
      <c r="A17" s="114">
        <v>9</v>
      </c>
      <c r="B17" s="114" t="s">
        <v>3139</v>
      </c>
      <c r="C17" s="115" t="s">
        <v>846</v>
      </c>
      <c r="D17" s="333" t="s">
        <v>871</v>
      </c>
      <c r="E17" s="333"/>
    </row>
    <row r="18" spans="1:5" ht="16.5" x14ac:dyDescent="0.2">
      <c r="A18" s="114">
        <v>10</v>
      </c>
      <c r="B18" s="114" t="s">
        <v>2565</v>
      </c>
      <c r="C18" s="115" t="s">
        <v>847</v>
      </c>
      <c r="D18" s="333" t="s">
        <v>874</v>
      </c>
      <c r="E18" s="333"/>
    </row>
    <row r="19" spans="1:5" ht="16.5" x14ac:dyDescent="0.2">
      <c r="A19" s="114">
        <v>11</v>
      </c>
      <c r="B19" s="114" t="s">
        <v>3140</v>
      </c>
      <c r="C19" s="115" t="s">
        <v>848</v>
      </c>
      <c r="D19" s="333" t="s">
        <v>874</v>
      </c>
      <c r="E19" s="333"/>
    </row>
    <row r="20" spans="1:5" ht="16.5" x14ac:dyDescent="0.2">
      <c r="A20" s="114">
        <v>12</v>
      </c>
      <c r="B20" s="114" t="s">
        <v>3141</v>
      </c>
      <c r="C20" s="115" t="s">
        <v>849</v>
      </c>
      <c r="D20" s="333" t="s">
        <v>871</v>
      </c>
      <c r="E20" s="333"/>
    </row>
    <row r="21" spans="1:5" ht="16.5" x14ac:dyDescent="0.2">
      <c r="A21" s="114">
        <v>13</v>
      </c>
      <c r="B21" s="114" t="s">
        <v>3142</v>
      </c>
      <c r="C21" s="115" t="s">
        <v>850</v>
      </c>
      <c r="D21" s="333" t="s">
        <v>874</v>
      </c>
      <c r="E21" s="333"/>
    </row>
    <row r="22" spans="1:5" ht="16.5" x14ac:dyDescent="0.2">
      <c r="A22" s="114">
        <v>14</v>
      </c>
      <c r="B22" s="114" t="s">
        <v>3143</v>
      </c>
      <c r="C22" s="115" t="s">
        <v>851</v>
      </c>
      <c r="D22" s="333" t="s">
        <v>874</v>
      </c>
      <c r="E22" s="333"/>
    </row>
    <row r="23" spans="1:5" ht="16.5" x14ac:dyDescent="0.2">
      <c r="A23" s="114">
        <v>15</v>
      </c>
      <c r="B23" s="114" t="s">
        <v>3144</v>
      </c>
      <c r="C23" s="115" t="s">
        <v>852</v>
      </c>
      <c r="D23" s="333" t="s">
        <v>872</v>
      </c>
      <c r="E23" s="333"/>
    </row>
    <row r="24" spans="1:5" ht="16.5" x14ac:dyDescent="0.2">
      <c r="A24" s="114">
        <v>16</v>
      </c>
      <c r="B24" s="114" t="s">
        <v>2567</v>
      </c>
      <c r="C24" s="115" t="s">
        <v>853</v>
      </c>
      <c r="D24" s="333" t="s">
        <v>874</v>
      </c>
      <c r="E24" s="333"/>
    </row>
    <row r="25" spans="1:5" ht="16.5" x14ac:dyDescent="0.2">
      <c r="A25" s="114">
        <v>17</v>
      </c>
      <c r="B25" s="114" t="s">
        <v>3145</v>
      </c>
      <c r="C25" s="115" t="s">
        <v>854</v>
      </c>
      <c r="D25" s="333" t="s">
        <v>874</v>
      </c>
      <c r="E25" s="333"/>
    </row>
    <row r="26" spans="1:5" ht="16.5" x14ac:dyDescent="0.2">
      <c r="A26" s="114">
        <v>18</v>
      </c>
      <c r="B26" s="114" t="s">
        <v>3146</v>
      </c>
      <c r="C26" s="115" t="s">
        <v>855</v>
      </c>
      <c r="D26" s="333" t="s">
        <v>874</v>
      </c>
      <c r="E26" s="333"/>
    </row>
    <row r="27" spans="1:5" ht="16.5" x14ac:dyDescent="0.2">
      <c r="A27" s="114">
        <v>19</v>
      </c>
      <c r="B27" s="114" t="s">
        <v>3147</v>
      </c>
      <c r="C27" s="115" t="s">
        <v>856</v>
      </c>
      <c r="D27" s="333" t="s">
        <v>874</v>
      </c>
      <c r="E27" s="333"/>
    </row>
    <row r="28" spans="1:5" ht="16.5" x14ac:dyDescent="0.2">
      <c r="A28" s="114">
        <v>20</v>
      </c>
      <c r="B28" s="114" t="s">
        <v>77</v>
      </c>
      <c r="C28" s="115" t="s">
        <v>857</v>
      </c>
      <c r="D28" s="333" t="s">
        <v>874</v>
      </c>
      <c r="E28" s="333"/>
    </row>
    <row r="29" spans="1:5" ht="16.5" x14ac:dyDescent="0.2">
      <c r="A29" s="114">
        <v>21</v>
      </c>
      <c r="B29" s="114" t="s">
        <v>77</v>
      </c>
      <c r="C29" s="115" t="s">
        <v>858</v>
      </c>
      <c r="D29" s="333" t="s">
        <v>874</v>
      </c>
      <c r="E29" s="333"/>
    </row>
    <row r="30" spans="1:5" ht="16.5" x14ac:dyDescent="0.2">
      <c r="A30" s="114">
        <v>22</v>
      </c>
      <c r="B30" s="114" t="s">
        <v>3148</v>
      </c>
      <c r="C30" s="115" t="s">
        <v>859</v>
      </c>
      <c r="D30" s="333" t="s">
        <v>874</v>
      </c>
      <c r="E30" s="333"/>
    </row>
    <row r="31" spans="1:5" ht="16.5" x14ac:dyDescent="0.2">
      <c r="A31" s="114">
        <v>23</v>
      </c>
      <c r="B31" s="114" t="s">
        <v>3149</v>
      </c>
      <c r="C31" s="115" t="s">
        <v>860</v>
      </c>
      <c r="D31" s="333" t="s">
        <v>875</v>
      </c>
      <c r="E31" s="333"/>
    </row>
    <row r="32" spans="1:5" ht="16.5" x14ac:dyDescent="0.2">
      <c r="A32" s="114">
        <v>24</v>
      </c>
      <c r="B32" s="114" t="s">
        <v>3150</v>
      </c>
      <c r="C32" s="115" t="s">
        <v>861</v>
      </c>
      <c r="D32" s="333" t="s">
        <v>874</v>
      </c>
      <c r="E32" s="333"/>
    </row>
    <row r="33" spans="1:11" ht="16.5" x14ac:dyDescent="0.2">
      <c r="A33" s="114">
        <v>25</v>
      </c>
      <c r="B33" s="114" t="s">
        <v>3151</v>
      </c>
      <c r="C33" s="115" t="s">
        <v>862</v>
      </c>
      <c r="D33" s="333" t="s">
        <v>874</v>
      </c>
      <c r="E33" s="333"/>
    </row>
    <row r="34" spans="1:11" ht="16.5" x14ac:dyDescent="0.2">
      <c r="A34" s="114">
        <v>26</v>
      </c>
      <c r="B34" s="114" t="s">
        <v>3152</v>
      </c>
      <c r="C34" s="115" t="s">
        <v>863</v>
      </c>
      <c r="D34" s="333" t="s">
        <v>874</v>
      </c>
      <c r="E34" s="333"/>
    </row>
    <row r="35" spans="1:11" ht="16.5" x14ac:dyDescent="0.2">
      <c r="A35" s="114">
        <v>27</v>
      </c>
      <c r="B35" s="114" t="s">
        <v>3153</v>
      </c>
      <c r="C35" s="115" t="s">
        <v>864</v>
      </c>
      <c r="D35" s="333" t="s">
        <v>874</v>
      </c>
      <c r="E35" s="333"/>
    </row>
    <row r="36" spans="1:11" ht="16.5" x14ac:dyDescent="0.2">
      <c r="A36" s="114">
        <v>28</v>
      </c>
      <c r="B36" s="114" t="s">
        <v>3154</v>
      </c>
      <c r="C36" s="115" t="s">
        <v>865</v>
      </c>
      <c r="D36" s="333" t="s">
        <v>874</v>
      </c>
      <c r="E36" s="333"/>
    </row>
    <row r="37" spans="1:11" ht="16.5" x14ac:dyDescent="0.2">
      <c r="A37" s="114">
        <v>29</v>
      </c>
      <c r="B37" s="114" t="s">
        <v>3155</v>
      </c>
      <c r="C37" s="115" t="s">
        <v>866</v>
      </c>
      <c r="D37" s="333" t="s">
        <v>874</v>
      </c>
      <c r="E37" s="333"/>
      <c r="J37"/>
      <c r="K37"/>
    </row>
    <row r="38" spans="1:11" ht="16.5" x14ac:dyDescent="0.2">
      <c r="A38" s="114">
        <v>30</v>
      </c>
      <c r="B38" s="114" t="s">
        <v>3156</v>
      </c>
      <c r="C38" s="115" t="s">
        <v>867</v>
      </c>
      <c r="D38" s="333" t="s">
        <v>874</v>
      </c>
      <c r="E38" s="333"/>
      <c r="J38"/>
      <c r="K38"/>
    </row>
    <row r="39" spans="1:11" ht="16.5" x14ac:dyDescent="0.2">
      <c r="A39" s="114">
        <v>31</v>
      </c>
      <c r="B39" s="114" t="s">
        <v>3157</v>
      </c>
      <c r="C39" s="115" t="s">
        <v>868</v>
      </c>
      <c r="D39" s="333" t="s">
        <v>871</v>
      </c>
      <c r="E39" s="333"/>
      <c r="J39"/>
      <c r="K39"/>
    </row>
    <row r="40" spans="1:11" ht="16.5" x14ac:dyDescent="0.2">
      <c r="A40" s="114">
        <v>32</v>
      </c>
      <c r="B40" s="114" t="s">
        <v>77</v>
      </c>
      <c r="C40" s="115" t="s">
        <v>869</v>
      </c>
      <c r="D40" s="333" t="s">
        <v>876</v>
      </c>
      <c r="E40" s="333"/>
      <c r="J40"/>
      <c r="K40"/>
    </row>
    <row r="41" spans="1:11" ht="16.5" x14ac:dyDescent="0.2">
      <c r="A41" s="114">
        <v>33</v>
      </c>
      <c r="B41" s="114" t="s">
        <v>1339</v>
      </c>
      <c r="C41" s="115" t="s">
        <v>870</v>
      </c>
      <c r="D41" s="333" t="s">
        <v>874</v>
      </c>
      <c r="E41" s="333"/>
      <c r="J41"/>
      <c r="K41"/>
    </row>
  </sheetData>
  <mergeCells count="37">
    <mergeCell ref="A1:A3"/>
    <mergeCell ref="B1:C3"/>
    <mergeCell ref="D9:E9"/>
    <mergeCell ref="D10:E10"/>
    <mergeCell ref="D11:E11"/>
    <mergeCell ref="D12:E12"/>
    <mergeCell ref="D13:E13"/>
    <mergeCell ref="D14:E14"/>
    <mergeCell ref="D15:E15"/>
    <mergeCell ref="D16:E16"/>
    <mergeCell ref="D17:E17"/>
    <mergeCell ref="D18:E18"/>
    <mergeCell ref="D19:E19"/>
    <mergeCell ref="D20:E20"/>
    <mergeCell ref="D29:E29"/>
    <mergeCell ref="D30:E30"/>
    <mergeCell ref="D21:E21"/>
    <mergeCell ref="D22:E22"/>
    <mergeCell ref="D23:E23"/>
    <mergeCell ref="D24:E24"/>
    <mergeCell ref="D25:E25"/>
    <mergeCell ref="D41:E41"/>
    <mergeCell ref="D8:E8"/>
    <mergeCell ref="A5:E5"/>
    <mergeCell ref="D36:E36"/>
    <mergeCell ref="D37:E37"/>
    <mergeCell ref="D38:E38"/>
    <mergeCell ref="D39:E39"/>
    <mergeCell ref="D40:E40"/>
    <mergeCell ref="D31:E31"/>
    <mergeCell ref="D32:E32"/>
    <mergeCell ref="D33:E33"/>
    <mergeCell ref="D34:E34"/>
    <mergeCell ref="D35:E35"/>
    <mergeCell ref="D26:E26"/>
    <mergeCell ref="D27:E27"/>
    <mergeCell ref="D28:E28"/>
  </mergeCells>
  <pageMargins left="0.7" right="0.7" top="0.75" bottom="0.75" header="0.3" footer="0.3"/>
  <pageSetup paperSize="9" orientation="portrait" horizontalDpi="0"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F1116"/>
  <sheetViews>
    <sheetView workbookViewId="0">
      <selection activeCell="A5" sqref="A5:F6"/>
    </sheetView>
  </sheetViews>
  <sheetFormatPr baseColWidth="10" defaultColWidth="11.42578125" defaultRowHeight="12.75" x14ac:dyDescent="0.2"/>
  <cols>
    <col min="1" max="1" width="11.42578125" style="112"/>
    <col min="2" max="2" width="48" style="91" customWidth="1"/>
    <col min="3" max="3" width="6.5703125" style="112" bestFit="1" customWidth="1"/>
    <col min="4" max="4" width="21.28515625" style="112" bestFit="1" customWidth="1"/>
    <col min="5" max="5" width="11.140625" style="112" bestFit="1" customWidth="1"/>
    <col min="6" max="6" width="23.85546875" style="113" customWidth="1"/>
    <col min="7" max="16384" width="11.42578125" style="86"/>
  </cols>
  <sheetPr>
    <picture r:id="rId2"/>
  </sheetPr>
  <sheetData>
    <row r="1" spans="1:6" ht="16.5" x14ac:dyDescent="0.2">
      <c r="A1" s="222"/>
      <c r="B1" s="222" t="s">
        <v>3124</v>
      </c>
      <c r="C1" s="222"/>
      <c r="D1" s="222"/>
      <c r="E1" s="81" t="s">
        <v>3121</v>
      </c>
      <c r="F1" s="102" t="str">
        <f>+Instructivo!F1</f>
        <v>FGL 010</v>
      </c>
    </row>
    <row r="2" spans="1:6" ht="16.5" x14ac:dyDescent="0.2">
      <c r="A2" s="222"/>
      <c r="B2" s="222"/>
      <c r="C2" s="222"/>
      <c r="D2" s="222"/>
      <c r="E2" s="82" t="s">
        <v>3122</v>
      </c>
      <c r="F2" s="198" t="str">
        <f>+Instructivo!F2</f>
        <v>09</v>
      </c>
    </row>
    <row r="3" spans="1:6" ht="16.5" x14ac:dyDescent="0.2">
      <c r="A3" s="222"/>
      <c r="B3" s="222"/>
      <c r="C3" s="222"/>
      <c r="D3" s="222"/>
      <c r="E3" s="81" t="s">
        <v>3123</v>
      </c>
      <c r="F3" s="102" t="str">
        <f>+Instructivo!F3</f>
        <v>28-08-2023</v>
      </c>
    </row>
    <row r="5" spans="1:6" x14ac:dyDescent="0.2">
      <c r="A5" s="334" t="s">
        <v>3115</v>
      </c>
      <c r="B5" s="343"/>
      <c r="C5" s="343"/>
      <c r="D5" s="343"/>
      <c r="E5" s="343"/>
      <c r="F5" s="343"/>
    </row>
    <row r="6" spans="1:6" ht="36" customHeight="1" x14ac:dyDescent="0.2">
      <c r="A6" s="343"/>
      <c r="B6" s="343"/>
      <c r="C6" s="343"/>
      <c r="D6" s="343"/>
      <c r="E6" s="343"/>
      <c r="F6" s="343"/>
    </row>
    <row r="7" spans="1:6" ht="16.5" x14ac:dyDescent="0.3">
      <c r="A7" s="341"/>
      <c r="B7" s="342"/>
      <c r="C7" s="342"/>
      <c r="D7" s="342"/>
      <c r="E7" s="342"/>
      <c r="F7" s="342"/>
    </row>
    <row r="8" spans="1:6" s="87" customFormat="1" ht="16.5" x14ac:dyDescent="0.3">
      <c r="A8" s="104" t="s">
        <v>877</v>
      </c>
      <c r="B8" s="104" t="s">
        <v>3110</v>
      </c>
      <c r="C8" s="104" t="s">
        <v>3111</v>
      </c>
      <c r="D8" s="104" t="s">
        <v>3112</v>
      </c>
      <c r="E8" s="104" t="s">
        <v>3113</v>
      </c>
      <c r="F8" s="105" t="s">
        <v>3114</v>
      </c>
    </row>
    <row r="9" spans="1:6" s="87" customFormat="1" ht="16.5" x14ac:dyDescent="0.3">
      <c r="A9" s="106"/>
      <c r="B9" s="107" t="s">
        <v>878</v>
      </c>
      <c r="C9" s="106" t="s">
        <v>879</v>
      </c>
      <c r="D9" s="108">
        <v>108</v>
      </c>
      <c r="E9" s="108">
        <v>2016</v>
      </c>
      <c r="F9" s="109"/>
    </row>
    <row r="10" spans="1:6" s="87" customFormat="1" ht="16.5" x14ac:dyDescent="0.3">
      <c r="A10" s="106"/>
      <c r="B10" s="107" t="s">
        <v>880</v>
      </c>
      <c r="C10" s="108">
        <v>1</v>
      </c>
      <c r="D10" s="106" t="s">
        <v>881</v>
      </c>
      <c r="E10" s="108">
        <v>2012</v>
      </c>
      <c r="F10" s="109"/>
    </row>
    <row r="11" spans="1:6" s="87" customFormat="1" ht="49.5" x14ac:dyDescent="0.3">
      <c r="A11" s="106"/>
      <c r="B11" s="107" t="s">
        <v>882</v>
      </c>
      <c r="C11" s="108">
        <v>3</v>
      </c>
      <c r="D11" s="106" t="s">
        <v>883</v>
      </c>
      <c r="E11" s="108">
        <v>1993</v>
      </c>
      <c r="F11" s="109"/>
    </row>
    <row r="12" spans="1:6" s="87" customFormat="1" ht="16.5" x14ac:dyDescent="0.3">
      <c r="A12" s="106"/>
      <c r="B12" s="107" t="s">
        <v>884</v>
      </c>
      <c r="C12" s="108">
        <v>3</v>
      </c>
      <c r="D12" s="108">
        <v>56</v>
      </c>
      <c r="E12" s="108">
        <v>1993</v>
      </c>
      <c r="F12" s="109"/>
    </row>
    <row r="13" spans="1:6" s="87" customFormat="1" ht="16.5" x14ac:dyDescent="0.3">
      <c r="A13" s="106"/>
      <c r="B13" s="107" t="s">
        <v>885</v>
      </c>
      <c r="C13" s="108">
        <v>1</v>
      </c>
      <c r="D13" s="106" t="s">
        <v>881</v>
      </c>
      <c r="E13" s="108">
        <v>2012</v>
      </c>
      <c r="F13" s="109"/>
    </row>
    <row r="14" spans="1:6" s="87" customFormat="1" ht="16.5" x14ac:dyDescent="0.3">
      <c r="A14" s="106"/>
      <c r="B14" s="107" t="s">
        <v>886</v>
      </c>
      <c r="C14" s="108">
        <v>3</v>
      </c>
      <c r="D14" s="108">
        <v>94</v>
      </c>
      <c r="E14" s="108">
        <v>2010</v>
      </c>
      <c r="F14" s="109"/>
    </row>
    <row r="15" spans="1:6" s="87" customFormat="1" ht="16.5" x14ac:dyDescent="0.3">
      <c r="A15" s="106"/>
      <c r="B15" s="107" t="s">
        <v>887</v>
      </c>
      <c r="C15" s="108">
        <v>3</v>
      </c>
      <c r="D15" s="108">
        <v>61</v>
      </c>
      <c r="E15" s="108">
        <v>1994</v>
      </c>
      <c r="F15" s="109"/>
    </row>
    <row r="16" spans="1:6" s="87" customFormat="1" ht="16.5" x14ac:dyDescent="0.3">
      <c r="A16" s="106"/>
      <c r="B16" s="107" t="s">
        <v>888</v>
      </c>
      <c r="C16" s="108">
        <v>1</v>
      </c>
      <c r="D16" s="106" t="s">
        <v>881</v>
      </c>
      <c r="E16" s="108">
        <v>2012</v>
      </c>
      <c r="F16" s="109"/>
    </row>
    <row r="17" spans="1:6" s="87" customFormat="1" ht="16.5" x14ac:dyDescent="0.3">
      <c r="A17" s="106"/>
      <c r="B17" s="107" t="s">
        <v>889</v>
      </c>
      <c r="C17" s="108">
        <v>1</v>
      </c>
      <c r="D17" s="106" t="s">
        <v>881</v>
      </c>
      <c r="E17" s="108">
        <v>2012</v>
      </c>
      <c r="F17" s="109"/>
    </row>
    <row r="18" spans="1:6" s="87" customFormat="1" ht="16.5" x14ac:dyDescent="0.3">
      <c r="A18" s="106"/>
      <c r="B18" s="107" t="s">
        <v>890</v>
      </c>
      <c r="C18" s="106" t="s">
        <v>879</v>
      </c>
      <c r="D18" s="108">
        <v>61</v>
      </c>
      <c r="E18" s="108">
        <v>1994</v>
      </c>
      <c r="F18" s="109"/>
    </row>
    <row r="19" spans="1:6" s="87" customFormat="1" ht="16.5" x14ac:dyDescent="0.3">
      <c r="A19" s="106"/>
      <c r="B19" s="107" t="s">
        <v>891</v>
      </c>
      <c r="C19" s="108">
        <v>3</v>
      </c>
      <c r="D19" s="108">
        <v>61</v>
      </c>
      <c r="E19" s="108">
        <v>1994</v>
      </c>
      <c r="F19" s="109"/>
    </row>
    <row r="20" spans="1:6" s="87" customFormat="1" ht="16.5" x14ac:dyDescent="0.3">
      <c r="A20" s="106"/>
      <c r="B20" s="107" t="s">
        <v>892</v>
      </c>
      <c r="C20" s="108">
        <v>1</v>
      </c>
      <c r="D20" s="108">
        <v>111</v>
      </c>
      <c r="E20" s="108">
        <v>2017</v>
      </c>
      <c r="F20" s="109"/>
    </row>
    <row r="21" spans="1:6" s="87" customFormat="1" ht="16.5" x14ac:dyDescent="0.3">
      <c r="A21" s="106"/>
      <c r="B21" s="107" t="s">
        <v>893</v>
      </c>
      <c r="C21" s="108">
        <v>1</v>
      </c>
      <c r="D21" s="106" t="s">
        <v>894</v>
      </c>
      <c r="E21" s="108">
        <v>2012</v>
      </c>
      <c r="F21" s="109"/>
    </row>
    <row r="22" spans="1:6" s="87" customFormat="1" ht="16.5" x14ac:dyDescent="0.3">
      <c r="A22" s="106"/>
      <c r="B22" s="107" t="s">
        <v>895</v>
      </c>
      <c r="C22" s="108">
        <v>3</v>
      </c>
      <c r="D22" s="106" t="s">
        <v>896</v>
      </c>
      <c r="E22" s="108">
        <v>1987</v>
      </c>
      <c r="F22" s="109"/>
    </row>
    <row r="23" spans="1:6" s="87" customFormat="1" ht="16.5" x14ac:dyDescent="0.3">
      <c r="A23" s="110"/>
      <c r="B23" s="107" t="s">
        <v>897</v>
      </c>
      <c r="C23" s="108">
        <v>3</v>
      </c>
      <c r="D23" s="106" t="s">
        <v>896</v>
      </c>
      <c r="E23" s="108">
        <v>1987</v>
      </c>
      <c r="F23" s="109"/>
    </row>
    <row r="24" spans="1:6" s="87" customFormat="1" ht="16.5" x14ac:dyDescent="0.3">
      <c r="A24" s="110"/>
      <c r="B24" s="107" t="s">
        <v>898</v>
      </c>
      <c r="C24" s="108">
        <v>1</v>
      </c>
      <c r="D24" s="106" t="s">
        <v>899</v>
      </c>
      <c r="E24" s="108">
        <v>2012</v>
      </c>
      <c r="F24" s="109"/>
    </row>
    <row r="25" spans="1:6" s="87" customFormat="1" ht="16.5" x14ac:dyDescent="0.3">
      <c r="A25" s="110"/>
      <c r="B25" s="107" t="s">
        <v>900</v>
      </c>
      <c r="C25" s="106"/>
      <c r="D25" s="106"/>
      <c r="E25" s="106"/>
      <c r="F25" s="109"/>
    </row>
    <row r="26" spans="1:6" s="87" customFormat="1" ht="16.5" x14ac:dyDescent="0.3">
      <c r="A26" s="110"/>
      <c r="B26" s="107" t="s">
        <v>901</v>
      </c>
      <c r="C26" s="108">
        <v>1</v>
      </c>
      <c r="D26" s="106" t="s">
        <v>902</v>
      </c>
      <c r="E26" s="108">
        <v>2012</v>
      </c>
      <c r="F26" s="109"/>
    </row>
    <row r="27" spans="1:6" s="87" customFormat="1" ht="16.5" x14ac:dyDescent="0.3">
      <c r="A27" s="110"/>
      <c r="B27" s="107" t="s">
        <v>903</v>
      </c>
      <c r="C27" s="108">
        <v>3</v>
      </c>
      <c r="D27" s="106" t="s">
        <v>904</v>
      </c>
      <c r="E27" s="108">
        <v>1987</v>
      </c>
      <c r="F27" s="109"/>
    </row>
    <row r="28" spans="1:6" s="87" customFormat="1" ht="16.5" x14ac:dyDescent="0.3">
      <c r="A28" s="110"/>
      <c r="B28" s="107" t="s">
        <v>905</v>
      </c>
      <c r="C28" s="106" t="s">
        <v>906</v>
      </c>
      <c r="D28" s="106" t="s">
        <v>907</v>
      </c>
      <c r="E28" s="108">
        <v>1987</v>
      </c>
      <c r="F28" s="109"/>
    </row>
    <row r="29" spans="1:6" s="87" customFormat="1" ht="16.5" x14ac:dyDescent="0.3">
      <c r="A29" s="110"/>
      <c r="B29" s="107" t="s">
        <v>908</v>
      </c>
      <c r="C29" s="108">
        <v>1</v>
      </c>
      <c r="D29" s="106" t="s">
        <v>909</v>
      </c>
      <c r="E29" s="108">
        <v>2012</v>
      </c>
      <c r="F29" s="109"/>
    </row>
    <row r="30" spans="1:6" s="87" customFormat="1" ht="16.5" x14ac:dyDescent="0.3">
      <c r="A30" s="110"/>
      <c r="B30" s="107" t="s">
        <v>910</v>
      </c>
      <c r="C30" s="106" t="s">
        <v>879</v>
      </c>
      <c r="D30" s="108">
        <v>128</v>
      </c>
      <c r="E30" s="106" t="s">
        <v>911</v>
      </c>
      <c r="F30" s="109"/>
    </row>
    <row r="31" spans="1:6" s="87" customFormat="1" ht="33" x14ac:dyDescent="0.3">
      <c r="A31" s="110"/>
      <c r="B31" s="107" t="s">
        <v>912</v>
      </c>
      <c r="C31" s="106" t="s">
        <v>906</v>
      </c>
      <c r="D31" s="108">
        <v>58</v>
      </c>
      <c r="E31" s="108">
        <v>1993</v>
      </c>
      <c r="F31" s="109"/>
    </row>
    <row r="32" spans="1:6" s="87" customFormat="1" ht="16.5" x14ac:dyDescent="0.3">
      <c r="A32" s="110"/>
      <c r="B32" s="107" t="s">
        <v>913</v>
      </c>
      <c r="C32" s="108">
        <v>1</v>
      </c>
      <c r="D32" s="106" t="s">
        <v>914</v>
      </c>
      <c r="E32" s="108">
        <v>2012</v>
      </c>
      <c r="F32" s="109"/>
    </row>
    <row r="33" spans="1:6" s="87" customFormat="1" ht="16.5" x14ac:dyDescent="0.3">
      <c r="A33" s="110"/>
      <c r="B33" s="107" t="s">
        <v>915</v>
      </c>
      <c r="C33" s="106" t="s">
        <v>879</v>
      </c>
      <c r="D33" s="108">
        <v>104</v>
      </c>
      <c r="E33" s="108">
        <v>2014</v>
      </c>
      <c r="F33" s="109"/>
    </row>
    <row r="34" spans="1:6" s="87" customFormat="1" ht="66" x14ac:dyDescent="0.3">
      <c r="A34" s="110"/>
      <c r="B34" s="107" t="s">
        <v>916</v>
      </c>
      <c r="C34" s="108">
        <v>1</v>
      </c>
      <c r="D34" s="106" t="s">
        <v>917</v>
      </c>
      <c r="E34" s="108">
        <v>2012</v>
      </c>
      <c r="F34" s="109" t="s">
        <v>918</v>
      </c>
    </row>
    <row r="35" spans="1:6" s="87" customFormat="1" ht="16.5" x14ac:dyDescent="0.3">
      <c r="A35" s="110"/>
      <c r="B35" s="107" t="s">
        <v>919</v>
      </c>
      <c r="C35" s="106"/>
      <c r="D35" s="106"/>
      <c r="E35" s="106"/>
      <c r="F35" s="109"/>
    </row>
    <row r="36" spans="1:6" s="87" customFormat="1" ht="16.5" x14ac:dyDescent="0.3">
      <c r="A36" s="110"/>
      <c r="B36" s="107" t="s">
        <v>920</v>
      </c>
      <c r="C36" s="108">
        <v>1</v>
      </c>
      <c r="D36" s="106" t="s">
        <v>921</v>
      </c>
      <c r="E36" s="108">
        <v>2012</v>
      </c>
      <c r="F36" s="109"/>
    </row>
    <row r="37" spans="1:6" s="87" customFormat="1" ht="16.5" x14ac:dyDescent="0.3">
      <c r="A37" s="110"/>
      <c r="B37" s="107" t="s">
        <v>922</v>
      </c>
      <c r="C37" s="108">
        <v>1</v>
      </c>
      <c r="D37" s="106" t="s">
        <v>921</v>
      </c>
      <c r="E37" s="108">
        <v>2012</v>
      </c>
      <c r="F37" s="109"/>
    </row>
    <row r="38" spans="1:6" s="87" customFormat="1" ht="33" x14ac:dyDescent="0.3">
      <c r="A38" s="110"/>
      <c r="B38" s="107" t="s">
        <v>923</v>
      </c>
      <c r="C38" s="106" t="s">
        <v>906</v>
      </c>
      <c r="D38" s="108">
        <v>95</v>
      </c>
      <c r="E38" s="108">
        <v>2010</v>
      </c>
      <c r="F38" s="109"/>
    </row>
    <row r="39" spans="1:6" s="87" customFormat="1" ht="16.5" x14ac:dyDescent="0.2">
      <c r="A39" s="110"/>
      <c r="B39" s="107" t="s">
        <v>924</v>
      </c>
      <c r="C39" s="108">
        <v>3</v>
      </c>
      <c r="D39" s="108">
        <v>54</v>
      </c>
      <c r="E39" s="108">
        <v>1992</v>
      </c>
      <c r="F39" s="111"/>
    </row>
    <row r="40" spans="1:6" s="87" customFormat="1" ht="33" x14ac:dyDescent="0.2">
      <c r="A40" s="110"/>
      <c r="B40" s="107" t="s">
        <v>925</v>
      </c>
      <c r="C40" s="106" t="s">
        <v>879</v>
      </c>
      <c r="D40" s="108">
        <v>103</v>
      </c>
      <c r="E40" s="108">
        <v>2013</v>
      </c>
      <c r="F40" s="111"/>
    </row>
    <row r="41" spans="1:6" s="87" customFormat="1" ht="33" x14ac:dyDescent="0.2">
      <c r="A41" s="110"/>
      <c r="B41" s="107" t="s">
        <v>926</v>
      </c>
      <c r="C41" s="106"/>
      <c r="D41" s="106" t="s">
        <v>927</v>
      </c>
      <c r="E41" s="108">
        <v>1987</v>
      </c>
      <c r="F41" s="111"/>
    </row>
    <row r="42" spans="1:6" s="87" customFormat="1" ht="16.5" x14ac:dyDescent="0.2">
      <c r="A42" s="110"/>
      <c r="B42" s="107" t="s">
        <v>928</v>
      </c>
      <c r="C42" s="106" t="s">
        <v>879</v>
      </c>
      <c r="D42" s="106" t="s">
        <v>929</v>
      </c>
      <c r="E42" s="108">
        <v>1987</v>
      </c>
      <c r="F42" s="111"/>
    </row>
    <row r="43" spans="1:6" s="87" customFormat="1" ht="16.5" x14ac:dyDescent="0.2">
      <c r="A43" s="110"/>
      <c r="B43" s="107" t="s">
        <v>930</v>
      </c>
      <c r="C43" s="108">
        <v>3</v>
      </c>
      <c r="D43" s="108">
        <v>92</v>
      </c>
      <c r="E43" s="108">
        <v>2010</v>
      </c>
      <c r="F43" s="111"/>
    </row>
    <row r="44" spans="1:6" s="87" customFormat="1" ht="16.5" x14ac:dyDescent="0.2">
      <c r="A44" s="110"/>
      <c r="B44" s="107" t="s">
        <v>931</v>
      </c>
      <c r="C44" s="106" t="s">
        <v>906</v>
      </c>
      <c r="D44" s="108">
        <v>92</v>
      </c>
      <c r="E44" s="108">
        <v>2010</v>
      </c>
      <c r="F44" s="111"/>
    </row>
    <row r="45" spans="1:6" s="87" customFormat="1" ht="16.5" x14ac:dyDescent="0.2">
      <c r="A45" s="110"/>
      <c r="B45" s="107" t="s">
        <v>932</v>
      </c>
      <c r="C45" s="106" t="s">
        <v>879</v>
      </c>
      <c r="D45" s="106" t="s">
        <v>927</v>
      </c>
      <c r="E45" s="108">
        <v>1987</v>
      </c>
      <c r="F45" s="111"/>
    </row>
    <row r="46" spans="1:6" s="87" customFormat="1" ht="16.5" x14ac:dyDescent="0.2">
      <c r="A46" s="110"/>
      <c r="B46" s="107" t="s">
        <v>933</v>
      </c>
      <c r="C46" s="108">
        <v>3</v>
      </c>
      <c r="D46" s="108">
        <v>74</v>
      </c>
      <c r="E46" s="108">
        <v>1999</v>
      </c>
      <c r="F46" s="111"/>
    </row>
    <row r="47" spans="1:6" s="87" customFormat="1" ht="16.5" x14ac:dyDescent="0.2">
      <c r="A47" s="110"/>
      <c r="B47" s="107" t="s">
        <v>934</v>
      </c>
      <c r="C47" s="106"/>
      <c r="D47" s="108">
        <v>92</v>
      </c>
      <c r="E47" s="108">
        <v>2010</v>
      </c>
      <c r="F47" s="111"/>
    </row>
    <row r="48" spans="1:6" s="87" customFormat="1" ht="16.5" x14ac:dyDescent="0.2">
      <c r="A48" s="110"/>
      <c r="B48" s="107" t="s">
        <v>935</v>
      </c>
      <c r="C48" s="108">
        <v>3</v>
      </c>
      <c r="D48" s="108">
        <v>52</v>
      </c>
      <c r="E48" s="108">
        <v>1991</v>
      </c>
      <c r="F48" s="111"/>
    </row>
    <row r="49" spans="1:6" s="87" customFormat="1" ht="33" x14ac:dyDescent="0.2">
      <c r="A49" s="110"/>
      <c r="B49" s="107" t="s">
        <v>936</v>
      </c>
      <c r="C49" s="106" t="s">
        <v>879</v>
      </c>
      <c r="D49" s="108">
        <v>48</v>
      </c>
      <c r="E49" s="108">
        <v>1990</v>
      </c>
      <c r="F49" s="111"/>
    </row>
    <row r="50" spans="1:6" s="87" customFormat="1" ht="16.5" x14ac:dyDescent="0.2">
      <c r="A50" s="110"/>
      <c r="B50" s="107" t="s">
        <v>937</v>
      </c>
      <c r="C50" s="106"/>
      <c r="D50" s="106"/>
      <c r="E50" s="106"/>
      <c r="F50" s="111"/>
    </row>
    <row r="51" spans="1:6" s="87" customFormat="1" ht="16.5" x14ac:dyDescent="0.2">
      <c r="A51" s="110"/>
      <c r="B51" s="107" t="s">
        <v>938</v>
      </c>
      <c r="C51" s="106" t="s">
        <v>879</v>
      </c>
      <c r="D51" s="106" t="s">
        <v>939</v>
      </c>
      <c r="E51" s="108">
        <v>1987</v>
      </c>
      <c r="F51" s="111"/>
    </row>
    <row r="52" spans="1:6" s="87" customFormat="1" ht="16.5" x14ac:dyDescent="0.2">
      <c r="A52" s="110"/>
      <c r="B52" s="107" t="s">
        <v>940</v>
      </c>
      <c r="C52" s="108">
        <v>3</v>
      </c>
      <c r="D52" s="108">
        <v>68</v>
      </c>
      <c r="E52" s="108">
        <v>1997</v>
      </c>
      <c r="F52" s="111"/>
    </row>
    <row r="53" spans="1:6" s="87" customFormat="1" ht="16.5" x14ac:dyDescent="0.2">
      <c r="A53" s="110"/>
      <c r="B53" s="107" t="s">
        <v>941</v>
      </c>
      <c r="C53" s="108">
        <v>1</v>
      </c>
      <c r="D53" s="106" t="s">
        <v>942</v>
      </c>
      <c r="E53" s="108">
        <v>2012</v>
      </c>
      <c r="F53" s="111"/>
    </row>
    <row r="54" spans="1:6" s="87" customFormat="1" ht="16.5" x14ac:dyDescent="0.2">
      <c r="A54" s="110"/>
      <c r="B54" s="107" t="s">
        <v>943</v>
      </c>
      <c r="C54" s="108">
        <v>1</v>
      </c>
      <c r="D54" s="106" t="s">
        <v>944</v>
      </c>
      <c r="E54" s="108">
        <v>2012</v>
      </c>
      <c r="F54" s="111"/>
    </row>
    <row r="55" spans="1:6" s="87" customFormat="1" ht="99" x14ac:dyDescent="0.3">
      <c r="A55" s="110"/>
      <c r="B55" s="107" t="s">
        <v>945</v>
      </c>
      <c r="C55" s="106"/>
      <c r="D55" s="106"/>
      <c r="E55" s="106"/>
      <c r="F55" s="109"/>
    </row>
    <row r="56" spans="1:6" s="87" customFormat="1" ht="33" x14ac:dyDescent="0.3">
      <c r="A56" s="110"/>
      <c r="B56" s="107" t="s">
        <v>946</v>
      </c>
      <c r="C56" s="106"/>
      <c r="D56" s="106"/>
      <c r="E56" s="106"/>
      <c r="F56" s="109"/>
    </row>
    <row r="57" spans="1:6" s="87" customFormat="1" ht="33" x14ac:dyDescent="0.3">
      <c r="A57" s="110"/>
      <c r="B57" s="107" t="s">
        <v>947</v>
      </c>
      <c r="C57" s="106"/>
      <c r="D57" s="106"/>
      <c r="E57" s="106"/>
      <c r="F57" s="109"/>
    </row>
    <row r="58" spans="1:6" s="87" customFormat="1" ht="198" x14ac:dyDescent="0.3">
      <c r="A58" s="110"/>
      <c r="B58" s="107" t="s">
        <v>948</v>
      </c>
      <c r="C58" s="108">
        <v>3</v>
      </c>
      <c r="D58" s="106" t="s">
        <v>949</v>
      </c>
      <c r="E58" s="106" t="s">
        <v>950</v>
      </c>
      <c r="F58" s="109" t="s">
        <v>951</v>
      </c>
    </row>
    <row r="59" spans="1:6" s="87" customFormat="1" ht="16.5" x14ac:dyDescent="0.3">
      <c r="A59" s="110"/>
      <c r="B59" s="107" t="s">
        <v>952</v>
      </c>
      <c r="C59" s="108">
        <v>1</v>
      </c>
      <c r="D59" s="106" t="s">
        <v>942</v>
      </c>
      <c r="E59" s="108">
        <v>2012</v>
      </c>
      <c r="F59" s="109"/>
    </row>
    <row r="60" spans="1:6" s="87" customFormat="1" ht="16.5" x14ac:dyDescent="0.3">
      <c r="A60" s="110"/>
      <c r="B60" s="107" t="s">
        <v>953</v>
      </c>
      <c r="C60" s="106"/>
      <c r="D60" s="106"/>
      <c r="E60" s="106"/>
      <c r="F60" s="109"/>
    </row>
    <row r="61" spans="1:6" s="87" customFormat="1" ht="16.5" x14ac:dyDescent="0.3">
      <c r="A61" s="110"/>
      <c r="B61" s="107" t="s">
        <v>954</v>
      </c>
      <c r="C61" s="108">
        <v>3</v>
      </c>
      <c r="D61" s="108">
        <v>74</v>
      </c>
      <c r="E61" s="108">
        <v>1999</v>
      </c>
      <c r="F61" s="109"/>
    </row>
    <row r="62" spans="1:6" s="87" customFormat="1" ht="16.5" x14ac:dyDescent="0.3">
      <c r="A62" s="110"/>
      <c r="B62" s="107" t="s">
        <v>955</v>
      </c>
      <c r="C62" s="106"/>
      <c r="D62" s="106"/>
      <c r="E62" s="106"/>
      <c r="F62" s="109"/>
    </row>
    <row r="63" spans="1:6" s="87" customFormat="1" ht="66" x14ac:dyDescent="0.3">
      <c r="A63" s="110"/>
      <c r="B63" s="107" t="s">
        <v>956</v>
      </c>
      <c r="C63" s="106" t="s">
        <v>879</v>
      </c>
      <c r="D63" s="108">
        <v>45</v>
      </c>
      <c r="E63" s="108">
        <v>1989</v>
      </c>
      <c r="F63" s="109" t="s">
        <v>957</v>
      </c>
    </row>
    <row r="64" spans="1:6" s="87" customFormat="1" ht="16.5" x14ac:dyDescent="0.3">
      <c r="A64" s="110"/>
      <c r="B64" s="107" t="s">
        <v>958</v>
      </c>
      <c r="C64" s="108">
        <v>3</v>
      </c>
      <c r="D64" s="108">
        <v>45</v>
      </c>
      <c r="E64" s="108">
        <v>1989</v>
      </c>
      <c r="F64" s="109"/>
    </row>
    <row r="65" spans="1:6" s="87" customFormat="1" ht="16.5" x14ac:dyDescent="0.3">
      <c r="A65" s="110"/>
      <c r="B65" s="107" t="s">
        <v>959</v>
      </c>
      <c r="C65" s="106" t="s">
        <v>879</v>
      </c>
      <c r="D65" s="108">
        <v>63</v>
      </c>
      <c r="E65" s="108">
        <v>1995</v>
      </c>
      <c r="F65" s="109"/>
    </row>
    <row r="66" spans="1:6" s="87" customFormat="1" ht="33" x14ac:dyDescent="0.3">
      <c r="A66" s="110"/>
      <c r="B66" s="107" t="s">
        <v>960</v>
      </c>
      <c r="C66" s="106"/>
      <c r="D66" s="106"/>
      <c r="E66" s="106"/>
      <c r="F66" s="109"/>
    </row>
    <row r="67" spans="1:6" s="87" customFormat="1" ht="16.5" x14ac:dyDescent="0.3">
      <c r="A67" s="110"/>
      <c r="B67" s="107" t="s">
        <v>961</v>
      </c>
      <c r="C67" s="108">
        <v>3</v>
      </c>
      <c r="D67" s="108">
        <v>80</v>
      </c>
      <c r="E67" s="108">
        <v>2002</v>
      </c>
      <c r="F67" s="109"/>
    </row>
    <row r="68" spans="1:6" s="87" customFormat="1" ht="16.5" x14ac:dyDescent="0.3">
      <c r="A68" s="110"/>
      <c r="B68" s="107" t="s">
        <v>962</v>
      </c>
      <c r="C68" s="108">
        <v>3</v>
      </c>
      <c r="D68" s="108">
        <v>80</v>
      </c>
      <c r="E68" s="108">
        <v>2002</v>
      </c>
      <c r="F68" s="109"/>
    </row>
    <row r="69" spans="1:6" s="87" customFormat="1" ht="16.5" x14ac:dyDescent="0.3">
      <c r="A69" s="110"/>
      <c r="B69" s="107" t="s">
        <v>963</v>
      </c>
      <c r="C69" s="108">
        <v>1</v>
      </c>
      <c r="D69" s="106" t="s">
        <v>964</v>
      </c>
      <c r="E69" s="108">
        <v>2014</v>
      </c>
      <c r="F69" s="109"/>
    </row>
    <row r="70" spans="1:6" s="87" customFormat="1" ht="16.5" x14ac:dyDescent="0.3">
      <c r="A70" s="110"/>
      <c r="B70" s="107" t="s">
        <v>965</v>
      </c>
      <c r="C70" s="106" t="s">
        <v>879</v>
      </c>
      <c r="D70" s="106" t="s">
        <v>964</v>
      </c>
      <c r="E70" s="108">
        <v>2014</v>
      </c>
      <c r="F70" s="109"/>
    </row>
    <row r="71" spans="1:6" s="87" customFormat="1" ht="16.5" x14ac:dyDescent="0.3">
      <c r="A71" s="110"/>
      <c r="B71" s="107" t="s">
        <v>966</v>
      </c>
      <c r="C71" s="108">
        <v>1</v>
      </c>
      <c r="D71" s="106" t="s">
        <v>967</v>
      </c>
      <c r="E71" s="108">
        <v>2012</v>
      </c>
      <c r="F71" s="109"/>
    </row>
    <row r="72" spans="1:6" s="87" customFormat="1" ht="16.5" x14ac:dyDescent="0.3">
      <c r="A72" s="110"/>
      <c r="B72" s="107" t="s">
        <v>968</v>
      </c>
      <c r="C72" s="108">
        <v>1</v>
      </c>
      <c r="D72" s="106" t="s">
        <v>969</v>
      </c>
      <c r="E72" s="108">
        <v>2012</v>
      </c>
      <c r="F72" s="109"/>
    </row>
    <row r="73" spans="1:6" s="87" customFormat="1" ht="16.5" x14ac:dyDescent="0.3">
      <c r="A73" s="110"/>
      <c r="B73" s="107" t="s">
        <v>970</v>
      </c>
      <c r="C73" s="108">
        <v>1</v>
      </c>
      <c r="D73" s="106" t="s">
        <v>971</v>
      </c>
      <c r="E73" s="108">
        <v>2012</v>
      </c>
      <c r="F73" s="109"/>
    </row>
    <row r="74" spans="1:6" s="87" customFormat="1" ht="99" x14ac:dyDescent="0.3">
      <c r="A74" s="110"/>
      <c r="B74" s="107" t="s">
        <v>972</v>
      </c>
      <c r="C74" s="108">
        <v>1</v>
      </c>
      <c r="D74" s="106" t="s">
        <v>971</v>
      </c>
      <c r="E74" s="108">
        <v>2012</v>
      </c>
      <c r="F74" s="109" t="s">
        <v>973</v>
      </c>
    </row>
    <row r="75" spans="1:6" s="87" customFormat="1" ht="16.5" x14ac:dyDescent="0.3">
      <c r="A75" s="110"/>
      <c r="B75" s="107" t="s">
        <v>974</v>
      </c>
      <c r="C75" s="108">
        <v>1</v>
      </c>
      <c r="D75" s="106" t="s">
        <v>975</v>
      </c>
      <c r="E75" s="106" t="s">
        <v>976</v>
      </c>
      <c r="F75" s="109"/>
    </row>
    <row r="76" spans="1:6" s="87" customFormat="1" ht="16.5" x14ac:dyDescent="0.3">
      <c r="A76" s="110"/>
      <c r="B76" s="107" t="s">
        <v>977</v>
      </c>
      <c r="C76" s="108">
        <v>1</v>
      </c>
      <c r="D76" s="106" t="s">
        <v>978</v>
      </c>
      <c r="E76" s="108">
        <v>2012</v>
      </c>
      <c r="F76" s="109"/>
    </row>
    <row r="77" spans="1:6" s="87" customFormat="1" ht="16.5" x14ac:dyDescent="0.3">
      <c r="A77" s="110"/>
      <c r="B77" s="107" t="s">
        <v>979</v>
      </c>
      <c r="C77" s="108">
        <v>3</v>
      </c>
      <c r="D77" s="108">
        <v>58</v>
      </c>
      <c r="E77" s="108">
        <v>1993</v>
      </c>
      <c r="F77" s="109"/>
    </row>
    <row r="78" spans="1:6" s="87" customFormat="1" ht="16.5" x14ac:dyDescent="0.3">
      <c r="A78" s="110"/>
      <c r="B78" s="107" t="s">
        <v>980</v>
      </c>
      <c r="C78" s="108">
        <v>3</v>
      </c>
      <c r="D78" s="108">
        <v>55</v>
      </c>
      <c r="E78" s="108">
        <v>1992</v>
      </c>
      <c r="F78" s="109"/>
    </row>
    <row r="79" spans="1:6" s="87" customFormat="1" ht="16.5" x14ac:dyDescent="0.3">
      <c r="A79" s="110"/>
      <c r="B79" s="107" t="s">
        <v>981</v>
      </c>
      <c r="C79" s="108">
        <v>1</v>
      </c>
      <c r="D79" s="108">
        <v>111</v>
      </c>
      <c r="E79" s="108">
        <v>2017</v>
      </c>
      <c r="F79" s="109"/>
    </row>
    <row r="80" spans="1:6" s="87" customFormat="1" ht="66" x14ac:dyDescent="0.3">
      <c r="A80" s="110"/>
      <c r="B80" s="107" t="s">
        <v>982</v>
      </c>
      <c r="C80" s="106"/>
      <c r="D80" s="106"/>
      <c r="E80" s="106"/>
      <c r="F80" s="109"/>
    </row>
    <row r="81" spans="1:6" s="87" customFormat="1" ht="16.5" x14ac:dyDescent="0.3">
      <c r="A81" s="110"/>
      <c r="B81" s="107" t="s">
        <v>983</v>
      </c>
      <c r="C81" s="106" t="s">
        <v>906</v>
      </c>
      <c r="D81" s="108">
        <v>95</v>
      </c>
      <c r="E81" s="108">
        <v>2010</v>
      </c>
      <c r="F81" s="109"/>
    </row>
    <row r="82" spans="1:6" s="87" customFormat="1" ht="16.5" x14ac:dyDescent="0.3">
      <c r="A82" s="110"/>
      <c r="B82" s="107" t="s">
        <v>984</v>
      </c>
      <c r="C82" s="108">
        <v>3</v>
      </c>
      <c r="D82" s="108">
        <v>45</v>
      </c>
      <c r="E82" s="108">
        <v>1989</v>
      </c>
      <c r="F82" s="109"/>
    </row>
    <row r="83" spans="1:6" s="87" customFormat="1" ht="16.5" x14ac:dyDescent="0.3">
      <c r="A83" s="110"/>
      <c r="B83" s="107" t="s">
        <v>985</v>
      </c>
      <c r="C83" s="106" t="s">
        <v>879</v>
      </c>
      <c r="D83" s="108">
        <v>45</v>
      </c>
      <c r="E83" s="108">
        <v>1989</v>
      </c>
      <c r="F83" s="109"/>
    </row>
    <row r="84" spans="1:6" s="87" customFormat="1" ht="16.5" x14ac:dyDescent="0.3">
      <c r="A84" s="110"/>
      <c r="B84" s="107" t="s">
        <v>986</v>
      </c>
      <c r="C84" s="106"/>
      <c r="D84" s="106" t="s">
        <v>927</v>
      </c>
      <c r="E84" s="108">
        <v>1987</v>
      </c>
      <c r="F84" s="109"/>
    </row>
    <row r="85" spans="1:6" s="87" customFormat="1" ht="16.5" x14ac:dyDescent="0.3">
      <c r="A85" s="110"/>
      <c r="B85" s="107" t="s">
        <v>987</v>
      </c>
      <c r="C85" s="106"/>
      <c r="D85" s="106"/>
      <c r="E85" s="106"/>
      <c r="F85" s="109"/>
    </row>
    <row r="86" spans="1:6" s="87" customFormat="1" ht="66" x14ac:dyDescent="0.3">
      <c r="A86" s="110"/>
      <c r="B86" s="107" t="s">
        <v>988</v>
      </c>
      <c r="C86" s="106" t="s">
        <v>879</v>
      </c>
      <c r="D86" s="108">
        <v>45</v>
      </c>
      <c r="E86" s="108">
        <v>1989</v>
      </c>
      <c r="F86" s="109" t="s">
        <v>957</v>
      </c>
    </row>
    <row r="87" spans="1:6" s="87" customFormat="1" ht="16.5" x14ac:dyDescent="0.2">
      <c r="A87" s="110"/>
      <c r="B87" s="107" t="s">
        <v>989</v>
      </c>
      <c r="C87" s="106"/>
      <c r="D87" s="106"/>
      <c r="E87" s="106"/>
      <c r="F87" s="111"/>
    </row>
    <row r="88" spans="1:6" s="87" customFormat="1" ht="16.5" x14ac:dyDescent="0.2">
      <c r="A88" s="110"/>
      <c r="B88" s="107" t="s">
        <v>990</v>
      </c>
      <c r="C88" s="108">
        <v>3</v>
      </c>
      <c r="D88" s="106" t="s">
        <v>991</v>
      </c>
      <c r="E88" s="108">
        <v>2002</v>
      </c>
      <c r="F88" s="111"/>
    </row>
    <row r="89" spans="1:6" s="87" customFormat="1" ht="16.5" x14ac:dyDescent="0.2">
      <c r="A89" s="110"/>
      <c r="B89" s="107" t="s">
        <v>992</v>
      </c>
      <c r="C89" s="106" t="s">
        <v>879</v>
      </c>
      <c r="D89" s="108">
        <v>108</v>
      </c>
      <c r="E89" s="108">
        <v>2016</v>
      </c>
      <c r="F89" s="111"/>
    </row>
    <row r="90" spans="1:6" s="87" customFormat="1" ht="16.5" x14ac:dyDescent="0.2">
      <c r="A90" s="110"/>
      <c r="B90" s="107" t="s">
        <v>993</v>
      </c>
      <c r="C90" s="108">
        <v>1</v>
      </c>
      <c r="D90" s="106" t="s">
        <v>994</v>
      </c>
      <c r="E90" s="108">
        <v>2012</v>
      </c>
      <c r="F90" s="111"/>
    </row>
    <row r="91" spans="1:6" s="87" customFormat="1" ht="16.5" x14ac:dyDescent="0.2">
      <c r="A91" s="110"/>
      <c r="B91" s="107" t="s">
        <v>995</v>
      </c>
      <c r="C91" s="108">
        <v>3</v>
      </c>
      <c r="D91" s="106" t="s">
        <v>996</v>
      </c>
      <c r="E91" s="108">
        <v>2010</v>
      </c>
      <c r="F91" s="111"/>
    </row>
    <row r="92" spans="1:6" s="87" customFormat="1" ht="16.5" x14ac:dyDescent="0.2">
      <c r="A92" s="110"/>
      <c r="B92" s="107" t="s">
        <v>997</v>
      </c>
      <c r="C92" s="106" t="s">
        <v>906</v>
      </c>
      <c r="D92" s="106" t="s">
        <v>996</v>
      </c>
      <c r="E92" s="108">
        <v>2010</v>
      </c>
      <c r="F92" s="111"/>
    </row>
    <row r="93" spans="1:6" s="87" customFormat="1" ht="16.5" x14ac:dyDescent="0.2">
      <c r="A93" s="110"/>
      <c r="B93" s="107" t="s">
        <v>998</v>
      </c>
      <c r="C93" s="108">
        <v>1</v>
      </c>
      <c r="D93" s="106" t="s">
        <v>999</v>
      </c>
      <c r="E93" s="108">
        <v>2012</v>
      </c>
      <c r="F93" s="111"/>
    </row>
    <row r="94" spans="1:6" s="87" customFormat="1" ht="16.5" x14ac:dyDescent="0.2">
      <c r="A94" s="110"/>
      <c r="B94" s="107" t="s">
        <v>1000</v>
      </c>
      <c r="C94" s="108">
        <v>1</v>
      </c>
      <c r="D94" s="106" t="s">
        <v>999</v>
      </c>
      <c r="E94" s="108">
        <v>2012</v>
      </c>
      <c r="F94" s="111"/>
    </row>
    <row r="95" spans="1:6" s="87" customFormat="1" ht="16.5" x14ac:dyDescent="0.2">
      <c r="A95" s="110"/>
      <c r="B95" s="107" t="s">
        <v>1001</v>
      </c>
      <c r="C95" s="108">
        <v>3</v>
      </c>
      <c r="D95" s="108">
        <v>59</v>
      </c>
      <c r="E95" s="108">
        <v>1994</v>
      </c>
      <c r="F95" s="111"/>
    </row>
    <row r="96" spans="1:6" s="87" customFormat="1" ht="16.5" x14ac:dyDescent="0.2">
      <c r="A96" s="110"/>
      <c r="B96" s="107" t="s">
        <v>1002</v>
      </c>
      <c r="C96" s="106" t="s">
        <v>879</v>
      </c>
      <c r="D96" s="106" t="s">
        <v>1003</v>
      </c>
      <c r="E96" s="108">
        <v>1987</v>
      </c>
      <c r="F96" s="111"/>
    </row>
    <row r="97" spans="1:6" s="87" customFormat="1" ht="16.5" x14ac:dyDescent="0.2">
      <c r="A97" s="110"/>
      <c r="B97" s="107" t="s">
        <v>1004</v>
      </c>
      <c r="C97" s="106"/>
      <c r="D97" s="106"/>
      <c r="E97" s="106"/>
      <c r="F97" s="111"/>
    </row>
    <row r="98" spans="1:6" s="87" customFormat="1" ht="33" x14ac:dyDescent="0.2">
      <c r="A98" s="110"/>
      <c r="B98" s="107" t="s">
        <v>1005</v>
      </c>
      <c r="C98" s="106"/>
      <c r="D98" s="106"/>
      <c r="E98" s="106"/>
      <c r="F98" s="111"/>
    </row>
    <row r="99" spans="1:6" s="87" customFormat="1" ht="33" x14ac:dyDescent="0.2">
      <c r="A99" s="110"/>
      <c r="B99" s="107" t="s">
        <v>1006</v>
      </c>
      <c r="C99" s="106"/>
      <c r="D99" s="106"/>
      <c r="E99" s="106"/>
      <c r="F99" s="111"/>
    </row>
    <row r="100" spans="1:6" s="87" customFormat="1" ht="16.5" x14ac:dyDescent="0.2">
      <c r="A100" s="110"/>
      <c r="B100" s="107" t="s">
        <v>1007</v>
      </c>
      <c r="C100" s="108">
        <v>1</v>
      </c>
      <c r="D100" s="106" t="s">
        <v>1008</v>
      </c>
      <c r="E100" s="108">
        <v>2012</v>
      </c>
      <c r="F100" s="111"/>
    </row>
    <row r="101" spans="1:6" s="87" customFormat="1" ht="16.5" x14ac:dyDescent="0.2">
      <c r="A101" s="110"/>
      <c r="B101" s="107" t="s">
        <v>1009</v>
      </c>
      <c r="C101" s="108">
        <v>3</v>
      </c>
      <c r="D101" s="108">
        <v>67</v>
      </c>
      <c r="E101" s="108">
        <v>1996</v>
      </c>
      <c r="F101" s="111"/>
    </row>
    <row r="102" spans="1:6" s="87" customFormat="1" ht="16.5" x14ac:dyDescent="0.2">
      <c r="A102" s="110"/>
      <c r="B102" s="107" t="s">
        <v>1010</v>
      </c>
      <c r="C102" s="106"/>
      <c r="D102" s="106"/>
      <c r="E102" s="106"/>
      <c r="F102" s="111"/>
    </row>
    <row r="103" spans="1:6" s="87" customFormat="1" ht="33" x14ac:dyDescent="0.3">
      <c r="A103" s="110"/>
      <c r="B103" s="107" t="s">
        <v>1011</v>
      </c>
      <c r="C103" s="106"/>
      <c r="D103" s="106"/>
      <c r="E103" s="106"/>
      <c r="F103" s="109"/>
    </row>
    <row r="104" spans="1:6" s="87" customFormat="1" ht="16.5" x14ac:dyDescent="0.3">
      <c r="A104" s="110"/>
      <c r="B104" s="107" t="s">
        <v>1012</v>
      </c>
      <c r="C104" s="108">
        <v>1</v>
      </c>
      <c r="D104" s="106" t="s">
        <v>1008</v>
      </c>
      <c r="E104" s="108">
        <v>2012</v>
      </c>
      <c r="F104" s="109"/>
    </row>
    <row r="105" spans="1:6" s="87" customFormat="1" ht="16.5" x14ac:dyDescent="0.3">
      <c r="A105" s="110"/>
      <c r="B105" s="107" t="s">
        <v>1013</v>
      </c>
      <c r="C105" s="106" t="s">
        <v>879</v>
      </c>
      <c r="D105" s="108">
        <v>67</v>
      </c>
      <c r="E105" s="108">
        <v>1996</v>
      </c>
      <c r="F105" s="109"/>
    </row>
    <row r="106" spans="1:6" s="87" customFormat="1" ht="33" x14ac:dyDescent="0.3">
      <c r="A106" s="110"/>
      <c r="B106" s="107" t="s">
        <v>1014</v>
      </c>
      <c r="C106" s="108">
        <v>3</v>
      </c>
      <c r="D106" s="106" t="s">
        <v>1015</v>
      </c>
      <c r="E106" s="108">
        <v>2012</v>
      </c>
      <c r="F106" s="109"/>
    </row>
    <row r="107" spans="1:6" s="87" customFormat="1" ht="99" x14ac:dyDescent="0.3">
      <c r="A107" s="110"/>
      <c r="B107" s="107" t="s">
        <v>1016</v>
      </c>
      <c r="C107" s="108">
        <v>1</v>
      </c>
      <c r="D107" s="106" t="s">
        <v>1017</v>
      </c>
      <c r="E107" s="108">
        <v>2012</v>
      </c>
      <c r="F107" s="109" t="s">
        <v>1018</v>
      </c>
    </row>
    <row r="108" spans="1:6" s="87" customFormat="1" ht="99" x14ac:dyDescent="0.3">
      <c r="A108" s="110"/>
      <c r="B108" s="107" t="s">
        <v>1019</v>
      </c>
      <c r="C108" s="108">
        <v>1</v>
      </c>
      <c r="D108" s="106" t="s">
        <v>1017</v>
      </c>
      <c r="E108" s="108">
        <v>2012</v>
      </c>
      <c r="F108" s="109" t="s">
        <v>1018</v>
      </c>
    </row>
    <row r="109" spans="1:6" s="87" customFormat="1" ht="99" x14ac:dyDescent="0.3">
      <c r="A109" s="110"/>
      <c r="B109" s="107" t="s">
        <v>1020</v>
      </c>
      <c r="C109" s="108">
        <v>1</v>
      </c>
      <c r="D109" s="106" t="s">
        <v>1017</v>
      </c>
      <c r="E109" s="108">
        <v>2012</v>
      </c>
      <c r="F109" s="109" t="s">
        <v>1018</v>
      </c>
    </row>
    <row r="110" spans="1:6" s="87" customFormat="1" ht="16.5" x14ac:dyDescent="0.3">
      <c r="A110" s="110"/>
      <c r="B110" s="107" t="s">
        <v>1021</v>
      </c>
      <c r="C110" s="106" t="s">
        <v>906</v>
      </c>
      <c r="D110" s="106" t="s">
        <v>1022</v>
      </c>
      <c r="E110" s="108">
        <v>2012</v>
      </c>
      <c r="F110" s="109"/>
    </row>
    <row r="111" spans="1:6" s="87" customFormat="1" ht="99" x14ac:dyDescent="0.3">
      <c r="A111" s="110"/>
      <c r="B111" s="107" t="s">
        <v>1023</v>
      </c>
      <c r="C111" s="108">
        <v>1</v>
      </c>
      <c r="D111" s="106" t="s">
        <v>1017</v>
      </c>
      <c r="E111" s="108">
        <v>2012</v>
      </c>
      <c r="F111" s="109" t="s">
        <v>1024</v>
      </c>
    </row>
    <row r="112" spans="1:6" s="87" customFormat="1" ht="33" x14ac:dyDescent="0.3">
      <c r="A112" s="110"/>
      <c r="B112" s="107" t="s">
        <v>1025</v>
      </c>
      <c r="C112" s="106" t="s">
        <v>879</v>
      </c>
      <c r="D112" s="106" t="s">
        <v>1022</v>
      </c>
      <c r="E112" s="108">
        <v>2012</v>
      </c>
      <c r="F112" s="109"/>
    </row>
    <row r="113" spans="1:6" s="87" customFormat="1" ht="66" x14ac:dyDescent="0.3">
      <c r="A113" s="110"/>
      <c r="B113" s="107" t="s">
        <v>1026</v>
      </c>
      <c r="C113" s="106" t="s">
        <v>879</v>
      </c>
      <c r="D113" s="106" t="s">
        <v>1022</v>
      </c>
      <c r="E113" s="108">
        <v>2012</v>
      </c>
      <c r="F113" s="109" t="s">
        <v>1027</v>
      </c>
    </row>
    <row r="114" spans="1:6" s="87" customFormat="1" ht="33" x14ac:dyDescent="0.3">
      <c r="A114" s="110"/>
      <c r="B114" s="107" t="s">
        <v>1028</v>
      </c>
      <c r="C114" s="106" t="s">
        <v>879</v>
      </c>
      <c r="D114" s="106" t="s">
        <v>1022</v>
      </c>
      <c r="E114" s="108">
        <v>2012</v>
      </c>
      <c r="F114" s="109"/>
    </row>
    <row r="115" spans="1:6" s="87" customFormat="1" ht="16.5" x14ac:dyDescent="0.3">
      <c r="A115" s="110"/>
      <c r="B115" s="107" t="s">
        <v>1029</v>
      </c>
      <c r="C115" s="108">
        <v>3</v>
      </c>
      <c r="D115" s="106" t="s">
        <v>1015</v>
      </c>
      <c r="E115" s="108">
        <v>2012</v>
      </c>
      <c r="F115" s="109"/>
    </row>
    <row r="116" spans="1:6" s="87" customFormat="1" ht="16.5" x14ac:dyDescent="0.3">
      <c r="A116" s="110"/>
      <c r="B116" s="107" t="s">
        <v>1030</v>
      </c>
      <c r="C116" s="108">
        <v>3</v>
      </c>
      <c r="D116" s="108">
        <v>52</v>
      </c>
      <c r="E116" s="108">
        <v>1991</v>
      </c>
      <c r="F116" s="109"/>
    </row>
    <row r="117" spans="1:6" s="87" customFormat="1" ht="49.5" x14ac:dyDescent="0.3">
      <c r="A117" s="110"/>
      <c r="B117" s="107" t="s">
        <v>1031</v>
      </c>
      <c r="C117" s="108">
        <v>3</v>
      </c>
      <c r="D117" s="108">
        <v>74</v>
      </c>
      <c r="E117" s="108">
        <v>1999</v>
      </c>
      <c r="F117" s="109"/>
    </row>
    <row r="118" spans="1:6" s="87" customFormat="1" ht="49.5" x14ac:dyDescent="0.3">
      <c r="A118" s="110"/>
      <c r="B118" s="107" t="s">
        <v>1032</v>
      </c>
      <c r="C118" s="106" t="s">
        <v>879</v>
      </c>
      <c r="D118" s="108">
        <v>74</v>
      </c>
      <c r="E118" s="108">
        <v>1999</v>
      </c>
      <c r="F118" s="109"/>
    </row>
    <row r="119" spans="1:6" s="87" customFormat="1" ht="16.5" x14ac:dyDescent="0.3">
      <c r="A119" s="110"/>
      <c r="B119" s="107" t="s">
        <v>1033</v>
      </c>
      <c r="C119" s="108">
        <v>3</v>
      </c>
      <c r="D119" s="106" t="s">
        <v>991</v>
      </c>
      <c r="E119" s="108">
        <v>2002</v>
      </c>
      <c r="F119" s="109"/>
    </row>
    <row r="120" spans="1:6" s="87" customFormat="1" ht="16.5" x14ac:dyDescent="0.3">
      <c r="A120" s="110"/>
      <c r="B120" s="107" t="s">
        <v>1034</v>
      </c>
      <c r="C120" s="106"/>
      <c r="D120" s="106"/>
      <c r="E120" s="106"/>
      <c r="F120" s="109"/>
    </row>
    <row r="121" spans="1:6" s="87" customFormat="1" ht="16.5" x14ac:dyDescent="0.3">
      <c r="A121" s="110"/>
      <c r="B121" s="107" t="s">
        <v>1035</v>
      </c>
      <c r="C121" s="108">
        <v>1</v>
      </c>
      <c r="D121" s="106" t="s">
        <v>978</v>
      </c>
      <c r="E121" s="108">
        <v>2012</v>
      </c>
      <c r="F121" s="109"/>
    </row>
    <row r="122" spans="1:6" s="87" customFormat="1" ht="16.5" x14ac:dyDescent="0.3">
      <c r="A122" s="110"/>
      <c r="B122" s="107" t="s">
        <v>1036</v>
      </c>
      <c r="C122" s="108">
        <v>1</v>
      </c>
      <c r="D122" s="106" t="s">
        <v>1037</v>
      </c>
      <c r="E122" s="108">
        <v>2012</v>
      </c>
      <c r="F122" s="109"/>
    </row>
    <row r="123" spans="1:6" s="87" customFormat="1" ht="16.5" x14ac:dyDescent="0.3">
      <c r="A123" s="110"/>
      <c r="B123" s="107" t="s">
        <v>1038</v>
      </c>
      <c r="C123" s="108">
        <v>1</v>
      </c>
      <c r="D123" s="106" t="s">
        <v>1039</v>
      </c>
      <c r="E123" s="108">
        <v>2012</v>
      </c>
      <c r="F123" s="109"/>
    </row>
    <row r="124" spans="1:6" s="87" customFormat="1" ht="16.5" x14ac:dyDescent="0.3">
      <c r="A124" s="110"/>
      <c r="B124" s="107" t="s">
        <v>1040</v>
      </c>
      <c r="C124" s="108">
        <v>3</v>
      </c>
      <c r="D124" s="106" t="s">
        <v>1041</v>
      </c>
      <c r="E124" s="108">
        <v>1999</v>
      </c>
      <c r="F124" s="109"/>
    </row>
    <row r="125" spans="1:6" s="87" customFormat="1" ht="16.5" x14ac:dyDescent="0.3">
      <c r="A125" s="110"/>
      <c r="B125" s="107" t="s">
        <v>1042</v>
      </c>
      <c r="C125" s="106" t="s">
        <v>879</v>
      </c>
      <c r="D125" s="108">
        <v>104</v>
      </c>
      <c r="E125" s="108">
        <v>2014</v>
      </c>
      <c r="F125" s="109"/>
    </row>
    <row r="126" spans="1:6" s="87" customFormat="1" ht="16.5" x14ac:dyDescent="0.3">
      <c r="A126" s="110"/>
      <c r="B126" s="107" t="s">
        <v>1043</v>
      </c>
      <c r="C126" s="108">
        <v>3</v>
      </c>
      <c r="D126" s="108">
        <v>45</v>
      </c>
      <c r="E126" s="108">
        <v>1989</v>
      </c>
      <c r="F126" s="109"/>
    </row>
    <row r="127" spans="1:6" s="87" customFormat="1" ht="16.5" x14ac:dyDescent="0.3">
      <c r="A127" s="110"/>
      <c r="B127" s="107" t="s">
        <v>1044</v>
      </c>
      <c r="C127" s="108">
        <v>1</v>
      </c>
      <c r="D127" s="106" t="s">
        <v>967</v>
      </c>
      <c r="E127" s="108">
        <v>2012</v>
      </c>
      <c r="F127" s="109"/>
    </row>
    <row r="128" spans="1:6" s="87" customFormat="1" ht="16.5" x14ac:dyDescent="0.3">
      <c r="A128" s="110"/>
      <c r="B128" s="107" t="s">
        <v>1045</v>
      </c>
      <c r="C128" s="106" t="s">
        <v>906</v>
      </c>
      <c r="D128" s="106" t="s">
        <v>1046</v>
      </c>
      <c r="E128" s="108">
        <v>2006</v>
      </c>
      <c r="F128" s="109"/>
    </row>
    <row r="129" spans="1:6" s="87" customFormat="1" ht="181.5" x14ac:dyDescent="0.3">
      <c r="A129" s="110"/>
      <c r="B129" s="107" t="s">
        <v>1047</v>
      </c>
      <c r="C129" s="108">
        <v>3</v>
      </c>
      <c r="D129" s="106" t="s">
        <v>1048</v>
      </c>
      <c r="E129" s="108">
        <v>2006</v>
      </c>
      <c r="F129" s="109" t="s">
        <v>1049</v>
      </c>
    </row>
    <row r="130" spans="1:6" s="87" customFormat="1" ht="16.5" x14ac:dyDescent="0.3">
      <c r="A130" s="110"/>
      <c r="B130" s="107" t="s">
        <v>1050</v>
      </c>
      <c r="C130" s="108">
        <v>1</v>
      </c>
      <c r="D130" s="106" t="s">
        <v>1051</v>
      </c>
      <c r="E130" s="108">
        <v>2012</v>
      </c>
      <c r="F130" s="109"/>
    </row>
    <row r="131" spans="1:6" s="87" customFormat="1" ht="16.5" x14ac:dyDescent="0.3">
      <c r="A131" s="110"/>
      <c r="B131" s="107" t="s">
        <v>1052</v>
      </c>
      <c r="C131" s="108">
        <v>3</v>
      </c>
      <c r="D131" s="106" t="s">
        <v>927</v>
      </c>
      <c r="E131" s="108">
        <v>1987</v>
      </c>
      <c r="F131" s="109"/>
    </row>
    <row r="132" spans="1:6" s="87" customFormat="1" ht="16.5" x14ac:dyDescent="0.3">
      <c r="A132" s="110"/>
      <c r="B132" s="107" t="s">
        <v>1053</v>
      </c>
      <c r="C132" s="108">
        <v>3</v>
      </c>
      <c r="D132" s="106" t="s">
        <v>927</v>
      </c>
      <c r="E132" s="108">
        <v>1987</v>
      </c>
      <c r="F132" s="109"/>
    </row>
    <row r="133" spans="1:6" s="87" customFormat="1" ht="16.5" x14ac:dyDescent="0.3">
      <c r="A133" s="110"/>
      <c r="B133" s="107" t="s">
        <v>1054</v>
      </c>
      <c r="C133" s="108">
        <v>3</v>
      </c>
      <c r="D133" s="106" t="s">
        <v>927</v>
      </c>
      <c r="E133" s="108">
        <v>1987</v>
      </c>
      <c r="F133" s="109"/>
    </row>
    <row r="134" spans="1:6" s="87" customFormat="1" ht="33" x14ac:dyDescent="0.3">
      <c r="A134" s="110"/>
      <c r="B134" s="107" t="s">
        <v>1055</v>
      </c>
      <c r="C134" s="108">
        <v>1</v>
      </c>
      <c r="D134" s="106" t="s">
        <v>1056</v>
      </c>
      <c r="E134" s="108">
        <v>2012</v>
      </c>
      <c r="F134" s="109"/>
    </row>
    <row r="135" spans="1:6" s="87" customFormat="1" ht="16.5" x14ac:dyDescent="0.3">
      <c r="A135" s="110"/>
      <c r="B135" s="107" t="s">
        <v>1057</v>
      </c>
      <c r="C135" s="108">
        <v>3</v>
      </c>
      <c r="D135" s="108">
        <v>82</v>
      </c>
      <c r="E135" s="108">
        <v>2002</v>
      </c>
      <c r="F135" s="109"/>
    </row>
    <row r="136" spans="1:6" s="87" customFormat="1" ht="16.5" x14ac:dyDescent="0.3">
      <c r="A136" s="110"/>
      <c r="B136" s="107" t="s">
        <v>1058</v>
      </c>
      <c r="C136" s="108">
        <v>1</v>
      </c>
      <c r="D136" s="106" t="s">
        <v>1059</v>
      </c>
      <c r="E136" s="108">
        <v>2012</v>
      </c>
      <c r="F136" s="109"/>
    </row>
    <row r="137" spans="1:6" s="87" customFormat="1" ht="16.5" x14ac:dyDescent="0.3">
      <c r="A137" s="110"/>
      <c r="B137" s="107" t="s">
        <v>1060</v>
      </c>
      <c r="C137" s="106" t="s">
        <v>879</v>
      </c>
      <c r="D137" s="108">
        <v>80</v>
      </c>
      <c r="E137" s="108">
        <v>2002</v>
      </c>
      <c r="F137" s="109"/>
    </row>
    <row r="138" spans="1:6" s="87" customFormat="1" ht="16.5" x14ac:dyDescent="0.3">
      <c r="A138" s="110"/>
      <c r="B138" s="107" t="s">
        <v>1061</v>
      </c>
      <c r="C138" s="108">
        <v>3</v>
      </c>
      <c r="D138" s="108">
        <v>80</v>
      </c>
      <c r="E138" s="108">
        <v>2002</v>
      </c>
      <c r="F138" s="109"/>
    </row>
    <row r="139" spans="1:6" s="87" customFormat="1" ht="33" x14ac:dyDescent="0.3">
      <c r="A139" s="110"/>
      <c r="B139" s="107" t="s">
        <v>1062</v>
      </c>
      <c r="C139" s="106" t="s">
        <v>906</v>
      </c>
      <c r="D139" s="108">
        <v>104</v>
      </c>
      <c r="E139" s="108">
        <v>2014</v>
      </c>
      <c r="F139" s="109"/>
    </row>
    <row r="140" spans="1:6" s="87" customFormat="1" ht="16.5" x14ac:dyDescent="0.3">
      <c r="A140" s="110"/>
      <c r="B140" s="107" t="s">
        <v>1063</v>
      </c>
      <c r="C140" s="106"/>
      <c r="D140" s="106"/>
      <c r="E140" s="106"/>
      <c r="F140" s="109"/>
    </row>
    <row r="141" spans="1:6" s="87" customFormat="1" ht="16.5" x14ac:dyDescent="0.3">
      <c r="A141" s="110"/>
      <c r="B141" s="107" t="s">
        <v>1064</v>
      </c>
      <c r="C141" s="108">
        <v>3</v>
      </c>
      <c r="D141" s="106" t="s">
        <v>949</v>
      </c>
      <c r="E141" s="106" t="s">
        <v>950</v>
      </c>
      <c r="F141" s="109"/>
    </row>
    <row r="142" spans="1:6" s="87" customFormat="1" ht="16.5" x14ac:dyDescent="0.3">
      <c r="A142" s="110"/>
      <c r="B142" s="107" t="s">
        <v>1065</v>
      </c>
      <c r="C142" s="106" t="s">
        <v>906</v>
      </c>
      <c r="D142" s="108">
        <v>104</v>
      </c>
      <c r="E142" s="108">
        <v>2014</v>
      </c>
      <c r="F142" s="109"/>
    </row>
    <row r="143" spans="1:6" s="87" customFormat="1" ht="16.5" x14ac:dyDescent="0.3">
      <c r="A143" s="110"/>
      <c r="B143" s="107" t="s">
        <v>1066</v>
      </c>
      <c r="C143" s="108">
        <v>3</v>
      </c>
      <c r="D143" s="108">
        <v>54</v>
      </c>
      <c r="E143" s="108">
        <v>1992</v>
      </c>
      <c r="F143" s="109"/>
    </row>
    <row r="144" spans="1:6" s="87" customFormat="1" ht="16.5" x14ac:dyDescent="0.3">
      <c r="A144" s="110"/>
      <c r="B144" s="107" t="s">
        <v>1067</v>
      </c>
      <c r="C144" s="106" t="s">
        <v>879</v>
      </c>
      <c r="D144" s="108">
        <v>74</v>
      </c>
      <c r="E144" s="108">
        <v>1999</v>
      </c>
      <c r="F144" s="109"/>
    </row>
    <row r="145" spans="1:6" s="87" customFormat="1" ht="16.5" x14ac:dyDescent="0.3">
      <c r="A145" s="110"/>
      <c r="B145" s="107" t="s">
        <v>1068</v>
      </c>
      <c r="C145" s="106" t="s">
        <v>879</v>
      </c>
      <c r="D145" s="108">
        <v>58</v>
      </c>
      <c r="E145" s="108">
        <v>1993</v>
      </c>
      <c r="F145" s="109" t="s">
        <v>1069</v>
      </c>
    </row>
    <row r="146" spans="1:6" s="87" customFormat="1" ht="16.5" x14ac:dyDescent="0.3">
      <c r="A146" s="110"/>
      <c r="B146" s="107" t="s">
        <v>1070</v>
      </c>
      <c r="C146" s="108">
        <v>3</v>
      </c>
      <c r="D146" s="106" t="s">
        <v>1071</v>
      </c>
      <c r="E146" s="108">
        <v>1987</v>
      </c>
      <c r="F146" s="109"/>
    </row>
    <row r="147" spans="1:6" s="87" customFormat="1" ht="16.5" x14ac:dyDescent="0.3">
      <c r="A147" s="110"/>
      <c r="B147" s="107" t="s">
        <v>1072</v>
      </c>
      <c r="C147" s="108">
        <v>1</v>
      </c>
      <c r="D147" s="106" t="s">
        <v>1073</v>
      </c>
      <c r="E147" s="108">
        <v>2012</v>
      </c>
      <c r="F147" s="109"/>
    </row>
    <row r="148" spans="1:6" s="87" customFormat="1" ht="16.5" x14ac:dyDescent="0.3">
      <c r="A148" s="110"/>
      <c r="B148" s="107" t="s">
        <v>1074</v>
      </c>
      <c r="C148" s="108">
        <v>3</v>
      </c>
      <c r="D148" s="106" t="s">
        <v>896</v>
      </c>
      <c r="E148" s="108">
        <v>1987</v>
      </c>
      <c r="F148" s="109"/>
    </row>
    <row r="149" spans="1:6" s="87" customFormat="1" ht="66" x14ac:dyDescent="0.3">
      <c r="A149" s="110"/>
      <c r="B149" s="107" t="s">
        <v>1075</v>
      </c>
      <c r="C149" s="108">
        <v>1</v>
      </c>
      <c r="D149" s="106" t="s">
        <v>1076</v>
      </c>
      <c r="E149" s="108">
        <v>2012</v>
      </c>
      <c r="F149" s="109" t="s">
        <v>1077</v>
      </c>
    </row>
    <row r="150" spans="1:6" s="87" customFormat="1" ht="16.5" x14ac:dyDescent="0.3">
      <c r="A150" s="110"/>
      <c r="B150" s="107" t="s">
        <v>1078</v>
      </c>
      <c r="C150" s="108">
        <v>1</v>
      </c>
      <c r="D150" s="106" t="s">
        <v>1079</v>
      </c>
      <c r="E150" s="108">
        <v>2012</v>
      </c>
      <c r="F150" s="109"/>
    </row>
    <row r="151" spans="1:6" s="87" customFormat="1" ht="16.5" x14ac:dyDescent="0.3">
      <c r="A151" s="110"/>
      <c r="B151" s="107" t="s">
        <v>1080</v>
      </c>
      <c r="C151" s="106"/>
      <c r="D151" s="108">
        <v>11</v>
      </c>
      <c r="E151" s="108">
        <v>1976</v>
      </c>
      <c r="F151" s="109"/>
    </row>
    <row r="152" spans="1:6" s="87" customFormat="1" ht="49.5" x14ac:dyDescent="0.3">
      <c r="A152" s="110"/>
      <c r="B152" s="107" t="s">
        <v>1081</v>
      </c>
      <c r="C152" s="106" t="s">
        <v>906</v>
      </c>
      <c r="D152" s="106" t="s">
        <v>1082</v>
      </c>
      <c r="E152" s="106" t="s">
        <v>1083</v>
      </c>
      <c r="F152" s="109" t="s">
        <v>1084</v>
      </c>
    </row>
    <row r="153" spans="1:6" s="87" customFormat="1" ht="33" x14ac:dyDescent="0.3">
      <c r="A153" s="110"/>
      <c r="B153" s="107" t="s">
        <v>1085</v>
      </c>
      <c r="C153" s="106" t="s">
        <v>906</v>
      </c>
      <c r="D153" s="108">
        <v>94</v>
      </c>
      <c r="E153" s="108">
        <v>2010</v>
      </c>
      <c r="F153" s="109"/>
    </row>
    <row r="154" spans="1:6" s="87" customFormat="1" ht="33" x14ac:dyDescent="0.3">
      <c r="A154" s="110"/>
      <c r="B154" s="107" t="s">
        <v>1086</v>
      </c>
      <c r="C154" s="106" t="s">
        <v>906</v>
      </c>
      <c r="D154" s="108">
        <v>53</v>
      </c>
      <c r="E154" s="108">
        <v>1991</v>
      </c>
      <c r="F154" s="109"/>
    </row>
    <row r="155" spans="1:6" s="87" customFormat="1" ht="16.5" x14ac:dyDescent="0.3">
      <c r="A155" s="110"/>
      <c r="B155" s="107" t="s">
        <v>1087</v>
      </c>
      <c r="C155" s="106"/>
      <c r="D155" s="106"/>
      <c r="E155" s="106"/>
      <c r="F155" s="109"/>
    </row>
    <row r="156" spans="1:6" s="87" customFormat="1" ht="16.5" x14ac:dyDescent="0.3">
      <c r="A156" s="110"/>
      <c r="B156" s="107" t="s">
        <v>1088</v>
      </c>
      <c r="C156" s="108">
        <v>1</v>
      </c>
      <c r="D156" s="108">
        <v>126</v>
      </c>
      <c r="E156" s="106" t="s">
        <v>911</v>
      </c>
      <c r="F156" s="109"/>
    </row>
    <row r="157" spans="1:6" s="87" customFormat="1" ht="33" x14ac:dyDescent="0.3">
      <c r="A157" s="110"/>
      <c r="B157" s="107" t="s">
        <v>1089</v>
      </c>
      <c r="C157" s="106"/>
      <c r="D157" s="106"/>
      <c r="E157" s="106"/>
      <c r="F157" s="109"/>
    </row>
    <row r="158" spans="1:6" s="87" customFormat="1" ht="16.5" x14ac:dyDescent="0.3">
      <c r="A158" s="110"/>
      <c r="B158" s="107" t="s">
        <v>1090</v>
      </c>
      <c r="C158" s="108">
        <v>3</v>
      </c>
      <c r="D158" s="108">
        <v>74</v>
      </c>
      <c r="E158" s="108">
        <v>1999</v>
      </c>
      <c r="F158" s="109"/>
    </row>
    <row r="159" spans="1:6" s="87" customFormat="1" ht="33" x14ac:dyDescent="0.3">
      <c r="A159" s="110"/>
      <c r="B159" s="107" t="s">
        <v>1091</v>
      </c>
      <c r="C159" s="108">
        <v>3</v>
      </c>
      <c r="D159" s="108">
        <v>74</v>
      </c>
      <c r="E159" s="108">
        <v>1999</v>
      </c>
      <c r="F159" s="109"/>
    </row>
    <row r="160" spans="1:6" s="87" customFormat="1" ht="49.5" x14ac:dyDescent="0.3">
      <c r="A160" s="110"/>
      <c r="B160" s="107" t="s">
        <v>1092</v>
      </c>
      <c r="C160" s="108">
        <v>3</v>
      </c>
      <c r="D160" s="106" t="s">
        <v>1093</v>
      </c>
      <c r="E160" s="106" t="s">
        <v>1094</v>
      </c>
      <c r="F160" s="109"/>
    </row>
    <row r="161" spans="1:6" s="87" customFormat="1" ht="16.5" x14ac:dyDescent="0.3">
      <c r="A161" s="110"/>
      <c r="B161" s="107" t="s">
        <v>1095</v>
      </c>
      <c r="C161" s="108">
        <v>1</v>
      </c>
      <c r="D161" s="108">
        <v>109</v>
      </c>
      <c r="E161" s="108">
        <v>2016</v>
      </c>
      <c r="F161" s="109"/>
    </row>
    <row r="162" spans="1:6" s="87" customFormat="1" ht="16.5" x14ac:dyDescent="0.3">
      <c r="A162" s="110"/>
      <c r="B162" s="107" t="s">
        <v>1096</v>
      </c>
      <c r="C162" s="108">
        <v>1</v>
      </c>
      <c r="D162" s="108">
        <v>109</v>
      </c>
      <c r="E162" s="108">
        <v>2016</v>
      </c>
      <c r="F162" s="109"/>
    </row>
    <row r="163" spans="1:6" s="87" customFormat="1" ht="16.5" x14ac:dyDescent="0.3">
      <c r="A163" s="110"/>
      <c r="B163" s="107" t="s">
        <v>1097</v>
      </c>
      <c r="C163" s="108">
        <v>3</v>
      </c>
      <c r="D163" s="108">
        <v>47</v>
      </c>
      <c r="E163" s="108">
        <v>1989</v>
      </c>
      <c r="F163" s="109"/>
    </row>
    <row r="164" spans="1:6" s="87" customFormat="1" ht="16.5" x14ac:dyDescent="0.3">
      <c r="A164" s="110"/>
      <c r="B164" s="107" t="s">
        <v>1098</v>
      </c>
      <c r="C164" s="108">
        <v>1</v>
      </c>
      <c r="D164" s="106" t="s">
        <v>1099</v>
      </c>
      <c r="E164" s="108">
        <v>2012</v>
      </c>
      <c r="F164" s="109"/>
    </row>
    <row r="165" spans="1:6" s="87" customFormat="1" ht="33" x14ac:dyDescent="0.3">
      <c r="A165" s="110"/>
      <c r="B165" s="107" t="s">
        <v>1100</v>
      </c>
      <c r="C165" s="106"/>
      <c r="D165" s="106"/>
      <c r="E165" s="106"/>
      <c r="F165" s="109"/>
    </row>
    <row r="166" spans="1:6" s="87" customFormat="1" ht="16.5" x14ac:dyDescent="0.3">
      <c r="A166" s="110"/>
      <c r="B166" s="107" t="s">
        <v>1101</v>
      </c>
      <c r="C166" s="106"/>
      <c r="D166" s="106" t="s">
        <v>1102</v>
      </c>
      <c r="E166" s="108">
        <v>2010</v>
      </c>
      <c r="F166" s="109"/>
    </row>
    <row r="167" spans="1:6" s="87" customFormat="1" ht="16.5" x14ac:dyDescent="0.3">
      <c r="A167" s="110"/>
      <c r="B167" s="107" t="s">
        <v>1103</v>
      </c>
      <c r="C167" s="108">
        <v>3</v>
      </c>
      <c r="D167" s="108">
        <v>131</v>
      </c>
      <c r="E167" s="106" t="s">
        <v>1094</v>
      </c>
      <c r="F167" s="109"/>
    </row>
    <row r="168" spans="1:6" s="87" customFormat="1" ht="16.5" x14ac:dyDescent="0.3">
      <c r="A168" s="110"/>
      <c r="B168" s="107" t="s">
        <v>1104</v>
      </c>
      <c r="C168" s="106" t="s">
        <v>906</v>
      </c>
      <c r="D168" s="108">
        <v>45</v>
      </c>
      <c r="E168" s="108">
        <v>1989</v>
      </c>
      <c r="F168" s="109"/>
    </row>
    <row r="169" spans="1:6" s="87" customFormat="1" ht="16.5" x14ac:dyDescent="0.3">
      <c r="A169" s="110"/>
      <c r="B169" s="107" t="s">
        <v>1105</v>
      </c>
      <c r="C169" s="108">
        <v>3</v>
      </c>
      <c r="D169" s="108">
        <v>47</v>
      </c>
      <c r="E169" s="108">
        <v>1989</v>
      </c>
      <c r="F169" s="109"/>
    </row>
    <row r="170" spans="1:6" s="87" customFormat="1" ht="16.5" x14ac:dyDescent="0.3">
      <c r="A170" s="110"/>
      <c r="B170" s="107" t="s">
        <v>1106</v>
      </c>
      <c r="C170" s="108">
        <v>1</v>
      </c>
      <c r="D170" s="106" t="s">
        <v>1056</v>
      </c>
      <c r="E170" s="108">
        <v>2012</v>
      </c>
      <c r="F170" s="109"/>
    </row>
    <row r="171" spans="1:6" s="87" customFormat="1" ht="16.5" x14ac:dyDescent="0.3">
      <c r="A171" s="110"/>
      <c r="B171" s="107" t="s">
        <v>1107</v>
      </c>
      <c r="C171" s="106" t="s">
        <v>879</v>
      </c>
      <c r="D171" s="108">
        <v>56</v>
      </c>
      <c r="E171" s="108">
        <v>1993</v>
      </c>
      <c r="F171" s="109"/>
    </row>
    <row r="172" spans="1:6" s="87" customFormat="1" ht="66" x14ac:dyDescent="0.3">
      <c r="A172" s="110"/>
      <c r="B172" s="107" t="s">
        <v>1108</v>
      </c>
      <c r="C172" s="108">
        <v>1</v>
      </c>
      <c r="D172" s="108">
        <v>107</v>
      </c>
      <c r="E172" s="108">
        <v>2016</v>
      </c>
      <c r="F172" s="109" t="s">
        <v>1109</v>
      </c>
    </row>
    <row r="173" spans="1:6" s="87" customFormat="1" ht="33" x14ac:dyDescent="0.3">
      <c r="A173" s="110"/>
      <c r="B173" s="107" t="s">
        <v>1110</v>
      </c>
      <c r="C173" s="108">
        <v>3</v>
      </c>
      <c r="D173" s="108">
        <v>69</v>
      </c>
      <c r="E173" s="108">
        <v>1997</v>
      </c>
      <c r="F173" s="109"/>
    </row>
    <row r="174" spans="1:6" s="87" customFormat="1" ht="33" x14ac:dyDescent="0.3">
      <c r="A174" s="110"/>
      <c r="B174" s="107" t="s">
        <v>1111</v>
      </c>
      <c r="C174" s="108">
        <v>3</v>
      </c>
      <c r="D174" s="108">
        <v>69</v>
      </c>
      <c r="E174" s="108">
        <v>1997</v>
      </c>
      <c r="F174" s="109"/>
    </row>
    <row r="175" spans="1:6" s="87" customFormat="1" ht="49.5" x14ac:dyDescent="0.3">
      <c r="A175" s="110"/>
      <c r="B175" s="107" t="s">
        <v>1112</v>
      </c>
      <c r="C175" s="106" t="s">
        <v>879</v>
      </c>
      <c r="D175" s="106" t="s">
        <v>1113</v>
      </c>
      <c r="E175" s="108">
        <v>1999</v>
      </c>
      <c r="F175" s="109"/>
    </row>
    <row r="176" spans="1:6" s="87" customFormat="1" ht="33" x14ac:dyDescent="0.3">
      <c r="A176" s="110"/>
      <c r="B176" s="107" t="s">
        <v>1114</v>
      </c>
      <c r="C176" s="106" t="s">
        <v>879</v>
      </c>
      <c r="D176" s="108">
        <v>74</v>
      </c>
      <c r="E176" s="108">
        <v>1999</v>
      </c>
      <c r="F176" s="109"/>
    </row>
    <row r="177" spans="1:6" s="87" customFormat="1" ht="16.5" x14ac:dyDescent="0.3">
      <c r="A177" s="110"/>
      <c r="B177" s="107" t="s">
        <v>1115</v>
      </c>
      <c r="C177" s="108">
        <v>3</v>
      </c>
      <c r="D177" s="108">
        <v>65</v>
      </c>
      <c r="E177" s="108">
        <v>1996</v>
      </c>
      <c r="F177" s="109"/>
    </row>
    <row r="178" spans="1:6" s="87" customFormat="1" ht="16.5" x14ac:dyDescent="0.3">
      <c r="A178" s="110"/>
      <c r="B178" s="107" t="s">
        <v>1116</v>
      </c>
      <c r="C178" s="106" t="s">
        <v>879</v>
      </c>
      <c r="D178" s="108">
        <v>65</v>
      </c>
      <c r="E178" s="108">
        <v>1996</v>
      </c>
      <c r="F178" s="109"/>
    </row>
    <row r="179" spans="1:6" s="87" customFormat="1" ht="16.5" x14ac:dyDescent="0.3">
      <c r="A179" s="110"/>
      <c r="B179" s="107" t="s">
        <v>1117</v>
      </c>
      <c r="C179" s="108">
        <v>1</v>
      </c>
      <c r="D179" s="108">
        <v>114</v>
      </c>
      <c r="E179" s="108">
        <v>2018</v>
      </c>
      <c r="F179" s="109"/>
    </row>
    <row r="180" spans="1:6" s="87" customFormat="1" ht="16.5" x14ac:dyDescent="0.3">
      <c r="A180" s="110"/>
      <c r="B180" s="107" t="s">
        <v>1118</v>
      </c>
      <c r="C180" s="108">
        <v>3</v>
      </c>
      <c r="D180" s="106" t="s">
        <v>1119</v>
      </c>
      <c r="E180" s="108">
        <v>1987</v>
      </c>
      <c r="F180" s="109"/>
    </row>
    <row r="181" spans="1:6" s="87" customFormat="1" ht="16.5" x14ac:dyDescent="0.3">
      <c r="A181" s="110"/>
      <c r="B181" s="107" t="s">
        <v>1120</v>
      </c>
      <c r="C181" s="106" t="s">
        <v>879</v>
      </c>
      <c r="D181" s="106" t="s">
        <v>907</v>
      </c>
      <c r="E181" s="108">
        <v>1987</v>
      </c>
      <c r="F181" s="109"/>
    </row>
    <row r="182" spans="1:6" s="87" customFormat="1" ht="16.5" x14ac:dyDescent="0.3">
      <c r="A182" s="110"/>
      <c r="B182" s="107" t="s">
        <v>1121</v>
      </c>
      <c r="C182" s="106" t="s">
        <v>879</v>
      </c>
      <c r="D182" s="108">
        <v>72</v>
      </c>
      <c r="E182" s="108">
        <v>1999</v>
      </c>
      <c r="F182" s="109"/>
    </row>
    <row r="183" spans="1:6" s="87" customFormat="1" ht="16.5" x14ac:dyDescent="0.3">
      <c r="A183" s="110"/>
      <c r="B183" s="107" t="s">
        <v>1122</v>
      </c>
      <c r="C183" s="108">
        <v>3</v>
      </c>
      <c r="D183" s="106" t="s">
        <v>927</v>
      </c>
      <c r="E183" s="108">
        <v>1987</v>
      </c>
      <c r="F183" s="109"/>
    </row>
    <row r="184" spans="1:6" s="87" customFormat="1" ht="16.5" x14ac:dyDescent="0.3">
      <c r="A184" s="110"/>
      <c r="B184" s="107" t="s">
        <v>1123</v>
      </c>
      <c r="C184" s="106" t="s">
        <v>879</v>
      </c>
      <c r="D184" s="108">
        <v>102</v>
      </c>
      <c r="E184" s="108">
        <v>2013</v>
      </c>
      <c r="F184" s="109"/>
    </row>
    <row r="185" spans="1:6" s="87" customFormat="1" ht="16.5" x14ac:dyDescent="0.3">
      <c r="A185" s="110"/>
      <c r="B185" s="107" t="s">
        <v>1124</v>
      </c>
      <c r="C185" s="108">
        <v>1</v>
      </c>
      <c r="D185" s="106" t="s">
        <v>1125</v>
      </c>
      <c r="E185" s="108">
        <v>2012</v>
      </c>
      <c r="F185" s="109"/>
    </row>
    <row r="186" spans="1:6" s="87" customFormat="1" ht="82.5" x14ac:dyDescent="0.3">
      <c r="A186" s="110"/>
      <c r="B186" s="107" t="s">
        <v>1126</v>
      </c>
      <c r="C186" s="108">
        <v>1</v>
      </c>
      <c r="D186" s="106" t="s">
        <v>1125</v>
      </c>
      <c r="E186" s="108">
        <v>2012</v>
      </c>
      <c r="F186" s="109" t="s">
        <v>1127</v>
      </c>
    </row>
    <row r="187" spans="1:6" s="87" customFormat="1" ht="82.5" x14ac:dyDescent="0.3">
      <c r="A187" s="110"/>
      <c r="B187" s="107" t="s">
        <v>1128</v>
      </c>
      <c r="C187" s="108">
        <v>1</v>
      </c>
      <c r="D187" s="106" t="s">
        <v>1125</v>
      </c>
      <c r="E187" s="108">
        <v>2012</v>
      </c>
      <c r="F187" s="109" t="s">
        <v>1127</v>
      </c>
    </row>
    <row r="188" spans="1:6" s="87" customFormat="1" ht="16.5" x14ac:dyDescent="0.3">
      <c r="A188" s="110"/>
      <c r="B188" s="107" t="s">
        <v>1129</v>
      </c>
      <c r="C188" s="106" t="s">
        <v>906</v>
      </c>
      <c r="D188" s="108">
        <v>114</v>
      </c>
      <c r="E188" s="108">
        <v>2018</v>
      </c>
      <c r="F188" s="109"/>
    </row>
    <row r="189" spans="1:6" s="87" customFormat="1" ht="16.5" x14ac:dyDescent="0.3">
      <c r="A189" s="110"/>
      <c r="B189" s="107" t="s">
        <v>1130</v>
      </c>
      <c r="C189" s="106" t="s">
        <v>879</v>
      </c>
      <c r="D189" s="106" t="s">
        <v>991</v>
      </c>
      <c r="E189" s="108">
        <v>2002</v>
      </c>
      <c r="F189" s="109"/>
    </row>
    <row r="190" spans="1:6" s="87" customFormat="1" ht="16.5" x14ac:dyDescent="0.3">
      <c r="A190" s="110"/>
      <c r="B190" s="107" t="s">
        <v>1131</v>
      </c>
      <c r="C190" s="108">
        <v>3</v>
      </c>
      <c r="D190" s="106" t="s">
        <v>991</v>
      </c>
      <c r="E190" s="108">
        <v>2002</v>
      </c>
      <c r="F190" s="109"/>
    </row>
    <row r="191" spans="1:6" s="87" customFormat="1" ht="16.5" x14ac:dyDescent="0.3">
      <c r="A191" s="110"/>
      <c r="B191" s="107" t="s">
        <v>1132</v>
      </c>
      <c r="C191" s="108">
        <v>1</v>
      </c>
      <c r="D191" s="106" t="s">
        <v>1133</v>
      </c>
      <c r="E191" s="108">
        <v>2012</v>
      </c>
      <c r="F191" s="109"/>
    </row>
    <row r="192" spans="1:6" s="87" customFormat="1" ht="16.5" x14ac:dyDescent="0.3">
      <c r="A192" s="110"/>
      <c r="B192" s="107" t="s">
        <v>1134</v>
      </c>
      <c r="C192" s="108">
        <v>3</v>
      </c>
      <c r="D192" s="108">
        <v>104</v>
      </c>
      <c r="E192" s="108">
        <v>2014</v>
      </c>
      <c r="F192" s="109"/>
    </row>
    <row r="193" spans="1:6" s="87" customFormat="1" ht="16.5" x14ac:dyDescent="0.3">
      <c r="A193" s="110"/>
      <c r="B193" s="107" t="s">
        <v>1135</v>
      </c>
      <c r="C193" s="108">
        <v>1</v>
      </c>
      <c r="D193" s="106" t="s">
        <v>1136</v>
      </c>
      <c r="E193" s="108">
        <v>2012</v>
      </c>
      <c r="F193" s="109"/>
    </row>
    <row r="194" spans="1:6" s="87" customFormat="1" ht="16.5" x14ac:dyDescent="0.3">
      <c r="A194" s="110"/>
      <c r="B194" s="107" t="s">
        <v>1137</v>
      </c>
      <c r="C194" s="108">
        <v>3</v>
      </c>
      <c r="D194" s="108">
        <v>74</v>
      </c>
      <c r="E194" s="108">
        <v>1999</v>
      </c>
      <c r="F194" s="109"/>
    </row>
    <row r="195" spans="1:6" s="87" customFormat="1" ht="16.5" x14ac:dyDescent="0.3">
      <c r="A195" s="110"/>
      <c r="B195" s="107" t="s">
        <v>1138</v>
      </c>
      <c r="C195" s="108">
        <v>3</v>
      </c>
      <c r="D195" s="106" t="s">
        <v>991</v>
      </c>
      <c r="E195" s="108">
        <v>2002</v>
      </c>
      <c r="F195" s="109"/>
    </row>
    <row r="196" spans="1:6" s="87" customFormat="1" ht="66" x14ac:dyDescent="0.3">
      <c r="A196" s="110"/>
      <c r="B196" s="107" t="s">
        <v>1139</v>
      </c>
      <c r="C196" s="108">
        <v>1</v>
      </c>
      <c r="D196" s="106" t="s">
        <v>1140</v>
      </c>
      <c r="E196" s="108">
        <v>2012</v>
      </c>
      <c r="F196" s="109"/>
    </row>
    <row r="197" spans="1:6" s="87" customFormat="1" ht="16.5" x14ac:dyDescent="0.3">
      <c r="A197" s="110"/>
      <c r="B197" s="107" t="s">
        <v>1141</v>
      </c>
      <c r="C197" s="106" t="s">
        <v>906</v>
      </c>
      <c r="D197" s="106" t="s">
        <v>1093</v>
      </c>
      <c r="E197" s="106" t="s">
        <v>1094</v>
      </c>
      <c r="F197" s="109"/>
    </row>
    <row r="198" spans="1:6" s="87" customFormat="1" ht="33" x14ac:dyDescent="0.3">
      <c r="A198" s="110"/>
      <c r="B198" s="107" t="s">
        <v>1142</v>
      </c>
      <c r="C198" s="108">
        <v>1</v>
      </c>
      <c r="D198" s="106" t="s">
        <v>1102</v>
      </c>
      <c r="E198" s="108">
        <v>2012</v>
      </c>
      <c r="F198" s="109"/>
    </row>
    <row r="199" spans="1:6" s="87" customFormat="1" ht="33" x14ac:dyDescent="0.3">
      <c r="A199" s="110"/>
      <c r="B199" s="107" t="s">
        <v>1143</v>
      </c>
      <c r="C199" s="106" t="s">
        <v>879</v>
      </c>
      <c r="D199" s="108">
        <v>81</v>
      </c>
      <c r="E199" s="108">
        <v>2002</v>
      </c>
      <c r="F199" s="109"/>
    </row>
    <row r="200" spans="1:6" s="87" customFormat="1" ht="16.5" x14ac:dyDescent="0.3">
      <c r="A200" s="110"/>
      <c r="B200" s="107" t="s">
        <v>1144</v>
      </c>
      <c r="C200" s="108">
        <v>3</v>
      </c>
      <c r="D200" s="108">
        <v>54</v>
      </c>
      <c r="E200" s="108">
        <v>1992</v>
      </c>
      <c r="F200" s="109"/>
    </row>
    <row r="201" spans="1:6" s="87" customFormat="1" ht="33" x14ac:dyDescent="0.3">
      <c r="A201" s="110"/>
      <c r="B201" s="107" t="s">
        <v>1145</v>
      </c>
      <c r="C201" s="106"/>
      <c r="D201" s="106"/>
      <c r="E201" s="106"/>
      <c r="F201" s="109"/>
    </row>
    <row r="202" spans="1:6" s="87" customFormat="1" ht="66" x14ac:dyDescent="0.3">
      <c r="A202" s="110"/>
      <c r="B202" s="107" t="s">
        <v>1146</v>
      </c>
      <c r="C202" s="106"/>
      <c r="D202" s="106"/>
      <c r="E202" s="106"/>
      <c r="F202" s="109"/>
    </row>
    <row r="203" spans="1:6" s="87" customFormat="1" ht="16.5" x14ac:dyDescent="0.3">
      <c r="A203" s="110"/>
      <c r="B203" s="107" t="s">
        <v>1147</v>
      </c>
      <c r="C203" s="108">
        <v>3</v>
      </c>
      <c r="D203" s="108">
        <v>51</v>
      </c>
      <c r="E203" s="108">
        <v>1991</v>
      </c>
      <c r="F203" s="109"/>
    </row>
    <row r="204" spans="1:6" s="87" customFormat="1" ht="16.5" x14ac:dyDescent="0.3">
      <c r="A204" s="110"/>
      <c r="B204" s="107" t="s">
        <v>1148</v>
      </c>
      <c r="C204" s="108">
        <v>3</v>
      </c>
      <c r="D204" s="106" t="s">
        <v>1149</v>
      </c>
      <c r="E204" s="108">
        <v>1999</v>
      </c>
      <c r="F204" s="109"/>
    </row>
    <row r="205" spans="1:6" s="87" customFormat="1" ht="16.5" x14ac:dyDescent="0.3">
      <c r="A205" s="110"/>
      <c r="B205" s="107" t="s">
        <v>1150</v>
      </c>
      <c r="C205" s="106" t="s">
        <v>879</v>
      </c>
      <c r="D205" s="108">
        <v>48</v>
      </c>
      <c r="E205" s="108">
        <v>1990</v>
      </c>
      <c r="F205" s="109"/>
    </row>
    <row r="206" spans="1:6" s="87" customFormat="1" ht="16.5" x14ac:dyDescent="0.3">
      <c r="A206" s="110"/>
      <c r="B206" s="107" t="s">
        <v>1151</v>
      </c>
      <c r="C206" s="108">
        <v>1</v>
      </c>
      <c r="D206" s="106" t="s">
        <v>1152</v>
      </c>
      <c r="E206" s="108">
        <v>2012</v>
      </c>
      <c r="F206" s="109"/>
    </row>
    <row r="207" spans="1:6" s="87" customFormat="1" ht="16.5" x14ac:dyDescent="0.3">
      <c r="A207" s="110"/>
      <c r="B207" s="107" t="s">
        <v>1153</v>
      </c>
      <c r="C207" s="108">
        <v>1</v>
      </c>
      <c r="D207" s="106" t="s">
        <v>1152</v>
      </c>
      <c r="E207" s="108">
        <v>2012</v>
      </c>
      <c r="F207" s="109"/>
    </row>
    <row r="208" spans="1:6" s="87" customFormat="1" ht="16.5" x14ac:dyDescent="0.3">
      <c r="A208" s="110"/>
      <c r="B208" s="107" t="s">
        <v>1154</v>
      </c>
      <c r="C208" s="108">
        <v>1</v>
      </c>
      <c r="D208" s="106" t="s">
        <v>1155</v>
      </c>
      <c r="E208" s="108">
        <v>2012</v>
      </c>
      <c r="F208" s="109"/>
    </row>
    <row r="209" spans="1:6" s="87" customFormat="1" ht="33" x14ac:dyDescent="0.3">
      <c r="A209" s="110"/>
      <c r="B209" s="107" t="s">
        <v>1156</v>
      </c>
      <c r="C209" s="106"/>
      <c r="D209" s="106"/>
      <c r="E209" s="106"/>
      <c r="F209" s="109"/>
    </row>
    <row r="210" spans="1:6" s="87" customFormat="1" ht="16.5" x14ac:dyDescent="0.3">
      <c r="A210" s="110"/>
      <c r="B210" s="107" t="s">
        <v>1157</v>
      </c>
      <c r="C210" s="106" t="s">
        <v>906</v>
      </c>
      <c r="D210" s="106" t="s">
        <v>1158</v>
      </c>
      <c r="E210" s="106" t="s">
        <v>1094</v>
      </c>
      <c r="F210" s="109"/>
    </row>
    <row r="211" spans="1:6" s="87" customFormat="1" ht="198" x14ac:dyDescent="0.3">
      <c r="A211" s="110"/>
      <c r="B211" s="107" t="s">
        <v>1159</v>
      </c>
      <c r="C211" s="108">
        <v>1</v>
      </c>
      <c r="D211" s="106" t="s">
        <v>1160</v>
      </c>
      <c r="E211" s="108">
        <v>2018</v>
      </c>
      <c r="F211" s="109" t="s">
        <v>1161</v>
      </c>
    </row>
    <row r="212" spans="1:6" s="87" customFormat="1" ht="66" x14ac:dyDescent="0.3">
      <c r="A212" s="110"/>
      <c r="B212" s="107" t="s">
        <v>1162</v>
      </c>
      <c r="C212" s="108">
        <v>1</v>
      </c>
      <c r="D212" s="106" t="s">
        <v>1140</v>
      </c>
      <c r="E212" s="108">
        <v>2012</v>
      </c>
      <c r="F212" s="109" t="s">
        <v>918</v>
      </c>
    </row>
    <row r="213" spans="1:6" s="87" customFormat="1" ht="66" x14ac:dyDescent="0.3">
      <c r="A213" s="110"/>
      <c r="B213" s="107" t="s">
        <v>1163</v>
      </c>
      <c r="C213" s="108">
        <v>1</v>
      </c>
      <c r="D213" s="106" t="s">
        <v>978</v>
      </c>
      <c r="E213" s="108">
        <v>2012</v>
      </c>
      <c r="F213" s="109"/>
    </row>
    <row r="214" spans="1:6" s="87" customFormat="1" ht="16.5" x14ac:dyDescent="0.3">
      <c r="A214" s="110"/>
      <c r="B214" s="107" t="s">
        <v>1164</v>
      </c>
      <c r="C214" s="106"/>
      <c r="D214" s="106"/>
      <c r="E214" s="106"/>
      <c r="F214" s="109"/>
    </row>
    <row r="215" spans="1:6" s="87" customFormat="1" ht="16.5" x14ac:dyDescent="0.2">
      <c r="A215" s="106"/>
      <c r="B215" s="107" t="s">
        <v>1165</v>
      </c>
      <c r="C215" s="106" t="s">
        <v>906</v>
      </c>
      <c r="D215" s="108">
        <v>116</v>
      </c>
      <c r="E215" s="106" t="s">
        <v>950</v>
      </c>
      <c r="F215" s="111"/>
    </row>
    <row r="216" spans="1:6" s="87" customFormat="1" ht="16.5" x14ac:dyDescent="0.2">
      <c r="A216" s="106"/>
      <c r="B216" s="107" t="s">
        <v>1166</v>
      </c>
      <c r="C216" s="106" t="s">
        <v>879</v>
      </c>
      <c r="D216" s="108">
        <v>131</v>
      </c>
      <c r="E216" s="106" t="s">
        <v>1094</v>
      </c>
      <c r="F216" s="111"/>
    </row>
    <row r="217" spans="1:6" s="87" customFormat="1" ht="16.5" x14ac:dyDescent="0.2">
      <c r="A217" s="106"/>
      <c r="B217" s="107" t="s">
        <v>1167</v>
      </c>
      <c r="C217" s="108">
        <v>1</v>
      </c>
      <c r="D217" s="106" t="s">
        <v>1168</v>
      </c>
      <c r="E217" s="106" t="s">
        <v>950</v>
      </c>
      <c r="F217" s="111"/>
    </row>
    <row r="218" spans="1:6" s="87" customFormat="1" ht="16.5" x14ac:dyDescent="0.2">
      <c r="A218" s="106"/>
      <c r="B218" s="107" t="s">
        <v>1169</v>
      </c>
      <c r="C218" s="108">
        <v>1</v>
      </c>
      <c r="D218" s="106" t="s">
        <v>1170</v>
      </c>
      <c r="E218" s="108">
        <v>2012</v>
      </c>
      <c r="F218" s="111"/>
    </row>
    <row r="219" spans="1:6" s="87" customFormat="1" ht="33" x14ac:dyDescent="0.2">
      <c r="A219" s="106"/>
      <c r="B219" s="107" t="s">
        <v>1171</v>
      </c>
      <c r="C219" s="106"/>
      <c r="D219" s="106"/>
      <c r="E219" s="106"/>
      <c r="F219" s="111"/>
    </row>
    <row r="220" spans="1:6" s="87" customFormat="1" ht="16.5" x14ac:dyDescent="0.2">
      <c r="A220" s="106"/>
      <c r="B220" s="107" t="s">
        <v>1172</v>
      </c>
      <c r="C220" s="108">
        <v>1</v>
      </c>
      <c r="D220" s="106" t="s">
        <v>1076</v>
      </c>
      <c r="E220" s="108">
        <v>2012</v>
      </c>
      <c r="F220" s="111"/>
    </row>
    <row r="221" spans="1:6" s="87" customFormat="1" ht="16.5" x14ac:dyDescent="0.2">
      <c r="A221" s="106" t="s">
        <v>1173</v>
      </c>
      <c r="B221" s="107" t="s">
        <v>1174</v>
      </c>
      <c r="C221" s="106" t="s">
        <v>879</v>
      </c>
      <c r="D221" s="106" t="s">
        <v>1175</v>
      </c>
      <c r="E221" s="106" t="s">
        <v>1083</v>
      </c>
      <c r="F221" s="111"/>
    </row>
    <row r="222" spans="1:6" s="87" customFormat="1" ht="16.5" x14ac:dyDescent="0.2">
      <c r="A222" s="106" t="s">
        <v>1176</v>
      </c>
      <c r="B222" s="107" t="s">
        <v>1177</v>
      </c>
      <c r="C222" s="106" t="s">
        <v>879</v>
      </c>
      <c r="D222" s="108">
        <v>123</v>
      </c>
      <c r="E222" s="106" t="s">
        <v>1083</v>
      </c>
      <c r="F222" s="111"/>
    </row>
    <row r="223" spans="1:6" s="87" customFormat="1" ht="16.5" x14ac:dyDescent="0.2">
      <c r="A223" s="106" t="s">
        <v>1178</v>
      </c>
      <c r="B223" s="107" t="s">
        <v>1179</v>
      </c>
      <c r="C223" s="106" t="s">
        <v>879</v>
      </c>
      <c r="D223" s="106" t="s">
        <v>1180</v>
      </c>
      <c r="E223" s="108">
        <v>1994</v>
      </c>
      <c r="F223" s="111"/>
    </row>
    <row r="224" spans="1:6" s="87" customFormat="1" ht="16.5" x14ac:dyDescent="0.2">
      <c r="A224" s="106" t="s">
        <v>1181</v>
      </c>
      <c r="B224" s="107" t="s">
        <v>1182</v>
      </c>
      <c r="C224" s="106" t="s">
        <v>879</v>
      </c>
      <c r="D224" s="108">
        <v>77</v>
      </c>
      <c r="E224" s="108">
        <v>2000</v>
      </c>
      <c r="F224" s="111"/>
    </row>
    <row r="225" spans="1:6" s="87" customFormat="1" ht="16.5" x14ac:dyDescent="0.2">
      <c r="A225" s="106" t="s">
        <v>1183</v>
      </c>
      <c r="B225" s="107" t="s">
        <v>1184</v>
      </c>
      <c r="C225" s="106" t="s">
        <v>906</v>
      </c>
      <c r="D225" s="106" t="s">
        <v>1185</v>
      </c>
      <c r="E225" s="108">
        <v>2019</v>
      </c>
      <c r="F225" s="111"/>
    </row>
    <row r="226" spans="1:6" s="87" customFormat="1" ht="16.5" x14ac:dyDescent="0.2">
      <c r="A226" s="106" t="s">
        <v>1186</v>
      </c>
      <c r="B226" s="107" t="s">
        <v>1187</v>
      </c>
      <c r="C226" s="106" t="s">
        <v>879</v>
      </c>
      <c r="D226" s="106" t="s">
        <v>1188</v>
      </c>
      <c r="E226" s="108">
        <v>1987</v>
      </c>
      <c r="F226" s="111"/>
    </row>
    <row r="227" spans="1:6" s="87" customFormat="1" ht="16.5" x14ac:dyDescent="0.2">
      <c r="A227" s="106" t="s">
        <v>1189</v>
      </c>
      <c r="B227" s="107" t="s">
        <v>1190</v>
      </c>
      <c r="C227" s="106"/>
      <c r="D227" s="106"/>
      <c r="E227" s="106"/>
      <c r="F227" s="111"/>
    </row>
    <row r="228" spans="1:6" s="87" customFormat="1" ht="16.5" x14ac:dyDescent="0.2">
      <c r="A228" s="106" t="s">
        <v>1191</v>
      </c>
      <c r="B228" s="107" t="s">
        <v>1192</v>
      </c>
      <c r="C228" s="108">
        <v>1</v>
      </c>
      <c r="D228" s="106" t="s">
        <v>1193</v>
      </c>
      <c r="E228" s="108">
        <v>2012</v>
      </c>
      <c r="F228" s="111"/>
    </row>
    <row r="229" spans="1:6" s="87" customFormat="1" ht="16.5" x14ac:dyDescent="0.2">
      <c r="A229" s="106" t="s">
        <v>1194</v>
      </c>
      <c r="B229" s="107" t="s">
        <v>1195</v>
      </c>
      <c r="C229" s="106" t="s">
        <v>879</v>
      </c>
      <c r="D229" s="106" t="s">
        <v>1196</v>
      </c>
      <c r="E229" s="108">
        <v>1987</v>
      </c>
      <c r="F229" s="111"/>
    </row>
    <row r="230" spans="1:6" s="87" customFormat="1" ht="16.5" x14ac:dyDescent="0.2">
      <c r="A230" s="106" t="s">
        <v>1197</v>
      </c>
      <c r="B230" s="107" t="s">
        <v>1198</v>
      </c>
      <c r="C230" s="108">
        <v>3</v>
      </c>
      <c r="D230" s="106" t="s">
        <v>1196</v>
      </c>
      <c r="E230" s="108">
        <v>1987</v>
      </c>
      <c r="F230" s="111"/>
    </row>
    <row r="231" spans="1:6" s="87" customFormat="1" ht="16.5" x14ac:dyDescent="0.3">
      <c r="A231" s="106" t="s">
        <v>1199</v>
      </c>
      <c r="B231" s="107" t="s">
        <v>1200</v>
      </c>
      <c r="C231" s="106"/>
      <c r="D231" s="106"/>
      <c r="E231" s="106"/>
      <c r="F231" s="109"/>
    </row>
    <row r="232" spans="1:6" s="87" customFormat="1" ht="66" x14ac:dyDescent="0.3">
      <c r="A232" s="106" t="s">
        <v>1201</v>
      </c>
      <c r="B232" s="107" t="s">
        <v>1202</v>
      </c>
      <c r="C232" s="108">
        <v>1</v>
      </c>
      <c r="D232" s="106" t="s">
        <v>1059</v>
      </c>
      <c r="E232" s="108">
        <v>2012</v>
      </c>
      <c r="F232" s="109" t="s">
        <v>918</v>
      </c>
    </row>
    <row r="233" spans="1:6" s="87" customFormat="1" ht="16.5" x14ac:dyDescent="0.3">
      <c r="A233" s="106" t="s">
        <v>1203</v>
      </c>
      <c r="B233" s="107" t="s">
        <v>1204</v>
      </c>
      <c r="C233" s="108">
        <v>3</v>
      </c>
      <c r="D233" s="106" t="s">
        <v>1205</v>
      </c>
      <c r="E233" s="108">
        <v>1987</v>
      </c>
      <c r="F233" s="109"/>
    </row>
    <row r="234" spans="1:6" s="87" customFormat="1" ht="16.5" x14ac:dyDescent="0.3">
      <c r="A234" s="106" t="s">
        <v>1206</v>
      </c>
      <c r="B234" s="107" t="s">
        <v>1207</v>
      </c>
      <c r="C234" s="108">
        <v>3</v>
      </c>
      <c r="D234" s="106" t="s">
        <v>904</v>
      </c>
      <c r="E234" s="108">
        <v>1987</v>
      </c>
      <c r="F234" s="109"/>
    </row>
    <row r="235" spans="1:6" s="87" customFormat="1" ht="33" x14ac:dyDescent="0.3">
      <c r="A235" s="106" t="s">
        <v>1208</v>
      </c>
      <c r="B235" s="107" t="s">
        <v>1209</v>
      </c>
      <c r="C235" s="106" t="s">
        <v>879</v>
      </c>
      <c r="D235" s="106" t="s">
        <v>1210</v>
      </c>
      <c r="E235" s="108">
        <v>2010</v>
      </c>
      <c r="F235" s="109"/>
    </row>
    <row r="236" spans="1:6" s="87" customFormat="1" ht="16.5" x14ac:dyDescent="0.3">
      <c r="A236" s="106" t="s">
        <v>1211</v>
      </c>
      <c r="B236" s="107" t="s">
        <v>1212</v>
      </c>
      <c r="C236" s="108">
        <v>3</v>
      </c>
      <c r="D236" s="106" t="s">
        <v>1213</v>
      </c>
      <c r="E236" s="108">
        <v>1999</v>
      </c>
      <c r="F236" s="109"/>
    </row>
    <row r="237" spans="1:6" s="87" customFormat="1" ht="16.5" x14ac:dyDescent="0.3">
      <c r="A237" s="106" t="s">
        <v>1214</v>
      </c>
      <c r="B237" s="107" t="s">
        <v>1215</v>
      </c>
      <c r="C237" s="106" t="s">
        <v>879</v>
      </c>
      <c r="D237" s="106" t="s">
        <v>1216</v>
      </c>
      <c r="E237" s="108">
        <v>1987</v>
      </c>
      <c r="F237" s="109"/>
    </row>
    <row r="238" spans="1:6" s="87" customFormat="1" ht="16.5" x14ac:dyDescent="0.3">
      <c r="A238" s="106" t="s">
        <v>1217</v>
      </c>
      <c r="B238" s="107" t="s">
        <v>1218</v>
      </c>
      <c r="C238" s="106" t="s">
        <v>879</v>
      </c>
      <c r="D238" s="106" t="s">
        <v>1219</v>
      </c>
      <c r="E238" s="108">
        <v>1987</v>
      </c>
      <c r="F238" s="109"/>
    </row>
    <row r="239" spans="1:6" s="87" customFormat="1" ht="16.5" x14ac:dyDescent="0.3">
      <c r="A239" s="106" t="s">
        <v>1220</v>
      </c>
      <c r="B239" s="107" t="s">
        <v>1221</v>
      </c>
      <c r="C239" s="106" t="s">
        <v>879</v>
      </c>
      <c r="D239" s="106" t="s">
        <v>1222</v>
      </c>
      <c r="E239" s="108">
        <v>1999</v>
      </c>
      <c r="F239" s="109"/>
    </row>
    <row r="240" spans="1:6" s="87" customFormat="1" ht="16.5" x14ac:dyDescent="0.3">
      <c r="A240" s="106" t="s">
        <v>1223</v>
      </c>
      <c r="B240" s="107" t="s">
        <v>1224</v>
      </c>
      <c r="C240" s="106" t="s">
        <v>879</v>
      </c>
      <c r="D240" s="108">
        <v>94</v>
      </c>
      <c r="E240" s="108">
        <v>2010</v>
      </c>
      <c r="F240" s="109"/>
    </row>
    <row r="241" spans="1:6" s="87" customFormat="1" ht="16.5" x14ac:dyDescent="0.3">
      <c r="A241" s="106" t="s">
        <v>1225</v>
      </c>
      <c r="B241" s="107" t="s">
        <v>1226</v>
      </c>
      <c r="C241" s="108">
        <v>3</v>
      </c>
      <c r="D241" s="106" t="s">
        <v>1227</v>
      </c>
      <c r="E241" s="108">
        <v>1987</v>
      </c>
      <c r="F241" s="109"/>
    </row>
    <row r="242" spans="1:6" s="87" customFormat="1" ht="16.5" x14ac:dyDescent="0.3">
      <c r="A242" s="106" t="s">
        <v>709</v>
      </c>
      <c r="B242" s="107" t="s">
        <v>1228</v>
      </c>
      <c r="C242" s="108">
        <v>3</v>
      </c>
      <c r="D242" s="108">
        <v>77</v>
      </c>
      <c r="E242" s="108">
        <v>2000</v>
      </c>
      <c r="F242" s="109"/>
    </row>
    <row r="243" spans="1:6" s="87" customFormat="1" ht="16.5" x14ac:dyDescent="0.3">
      <c r="A243" s="106" t="s">
        <v>1229</v>
      </c>
      <c r="B243" s="107" t="s">
        <v>1230</v>
      </c>
      <c r="C243" s="108">
        <v>3</v>
      </c>
      <c r="D243" s="106" t="s">
        <v>1205</v>
      </c>
      <c r="E243" s="108">
        <v>1987</v>
      </c>
      <c r="F243" s="109"/>
    </row>
    <row r="244" spans="1:6" s="87" customFormat="1" ht="16.5" x14ac:dyDescent="0.3">
      <c r="A244" s="106" t="s">
        <v>1231</v>
      </c>
      <c r="B244" s="107" t="s">
        <v>1232</v>
      </c>
      <c r="C244" s="106" t="s">
        <v>879</v>
      </c>
      <c r="D244" s="106" t="s">
        <v>1233</v>
      </c>
      <c r="E244" s="108">
        <v>2019</v>
      </c>
      <c r="F244" s="109"/>
    </row>
    <row r="245" spans="1:6" s="87" customFormat="1" ht="16.5" x14ac:dyDescent="0.3">
      <c r="A245" s="106" t="s">
        <v>1234</v>
      </c>
      <c r="B245" s="107" t="s">
        <v>1235</v>
      </c>
      <c r="C245" s="108">
        <v>3</v>
      </c>
      <c r="D245" s="106" t="s">
        <v>1236</v>
      </c>
      <c r="E245" s="108">
        <v>2000</v>
      </c>
      <c r="F245" s="109"/>
    </row>
    <row r="246" spans="1:6" s="87" customFormat="1" ht="16.5" x14ac:dyDescent="0.3">
      <c r="A246" s="106" t="s">
        <v>1237</v>
      </c>
      <c r="B246" s="107" t="s">
        <v>1238</v>
      </c>
      <c r="C246" s="108">
        <v>3</v>
      </c>
      <c r="D246" s="106" t="s">
        <v>1239</v>
      </c>
      <c r="E246" s="108">
        <v>1987</v>
      </c>
      <c r="F246" s="109"/>
    </row>
    <row r="247" spans="1:6" s="87" customFormat="1" ht="16.5" x14ac:dyDescent="0.3">
      <c r="A247" s="106" t="s">
        <v>1240</v>
      </c>
      <c r="B247" s="107" t="s">
        <v>1241</v>
      </c>
      <c r="C247" s="106"/>
      <c r="D247" s="106"/>
      <c r="E247" s="106"/>
      <c r="F247" s="109"/>
    </row>
    <row r="248" spans="1:6" s="87" customFormat="1" ht="16.5" x14ac:dyDescent="0.3">
      <c r="A248" s="106" t="s">
        <v>1240</v>
      </c>
      <c r="B248" s="107" t="s">
        <v>1242</v>
      </c>
      <c r="C248" s="108">
        <v>3</v>
      </c>
      <c r="D248" s="106" t="s">
        <v>1243</v>
      </c>
      <c r="E248" s="108">
        <v>1999</v>
      </c>
      <c r="F248" s="109"/>
    </row>
    <row r="249" spans="1:6" s="87" customFormat="1" ht="16.5" x14ac:dyDescent="0.3">
      <c r="A249" s="106" t="s">
        <v>1244</v>
      </c>
      <c r="B249" s="107" t="s">
        <v>1245</v>
      </c>
      <c r="C249" s="108">
        <v>3</v>
      </c>
      <c r="D249" s="106" t="s">
        <v>1246</v>
      </c>
      <c r="E249" s="108">
        <v>1987</v>
      </c>
      <c r="F249" s="109"/>
    </row>
    <row r="250" spans="1:6" s="87" customFormat="1" ht="16.5" x14ac:dyDescent="0.3">
      <c r="A250" s="106" t="s">
        <v>1247</v>
      </c>
      <c r="B250" s="107" t="s">
        <v>1248</v>
      </c>
      <c r="C250" s="108">
        <v>3</v>
      </c>
      <c r="D250" s="106" t="s">
        <v>1227</v>
      </c>
      <c r="E250" s="108">
        <v>1987</v>
      </c>
      <c r="F250" s="109"/>
    </row>
    <row r="251" spans="1:6" s="87" customFormat="1" ht="16.5" x14ac:dyDescent="0.3">
      <c r="A251" s="106" t="s">
        <v>1249</v>
      </c>
      <c r="B251" s="107" t="s">
        <v>1250</v>
      </c>
      <c r="C251" s="108">
        <v>3</v>
      </c>
      <c r="D251" s="106" t="s">
        <v>1251</v>
      </c>
      <c r="E251" s="108">
        <v>1999</v>
      </c>
      <c r="F251" s="109"/>
    </row>
    <row r="252" spans="1:6" s="87" customFormat="1" ht="16.5" x14ac:dyDescent="0.3">
      <c r="A252" s="106" t="s">
        <v>1252</v>
      </c>
      <c r="B252" s="107" t="s">
        <v>1253</v>
      </c>
      <c r="C252" s="108">
        <v>3</v>
      </c>
      <c r="D252" s="108">
        <v>79</v>
      </c>
      <c r="E252" s="108">
        <v>2001</v>
      </c>
      <c r="F252" s="109"/>
    </row>
    <row r="253" spans="1:6" s="87" customFormat="1" ht="49.5" x14ac:dyDescent="0.3">
      <c r="A253" s="106" t="s">
        <v>1254</v>
      </c>
      <c r="B253" s="107" t="s">
        <v>1255</v>
      </c>
      <c r="C253" s="108">
        <v>3</v>
      </c>
      <c r="D253" s="106" t="s">
        <v>1256</v>
      </c>
      <c r="E253" s="108">
        <v>1999</v>
      </c>
      <c r="F253" s="109" t="s">
        <v>1257</v>
      </c>
    </row>
    <row r="254" spans="1:6" s="87" customFormat="1" ht="16.5" x14ac:dyDescent="0.3">
      <c r="A254" s="106" t="s">
        <v>1258</v>
      </c>
      <c r="B254" s="107" t="s">
        <v>1259</v>
      </c>
      <c r="C254" s="108">
        <v>3</v>
      </c>
      <c r="D254" s="106" t="s">
        <v>1222</v>
      </c>
      <c r="E254" s="108">
        <v>1999</v>
      </c>
      <c r="F254" s="109"/>
    </row>
    <row r="255" spans="1:6" s="87" customFormat="1" ht="82.5" x14ac:dyDescent="0.3">
      <c r="A255" s="106" t="s">
        <v>1260</v>
      </c>
      <c r="B255" s="107" t="s">
        <v>1261</v>
      </c>
      <c r="C255" s="108">
        <v>1</v>
      </c>
      <c r="D255" s="106" t="s">
        <v>1262</v>
      </c>
      <c r="E255" s="108">
        <v>2012</v>
      </c>
      <c r="F255" s="109" t="s">
        <v>1263</v>
      </c>
    </row>
    <row r="256" spans="1:6" s="87" customFormat="1" ht="16.5" x14ac:dyDescent="0.3">
      <c r="A256" s="106" t="s">
        <v>1264</v>
      </c>
      <c r="B256" s="107" t="s">
        <v>1265</v>
      </c>
      <c r="C256" s="106" t="s">
        <v>879</v>
      </c>
      <c r="D256" s="108">
        <v>56</v>
      </c>
      <c r="E256" s="108">
        <v>1993</v>
      </c>
      <c r="F256" s="109"/>
    </row>
    <row r="257" spans="1:6" s="87" customFormat="1" ht="16.5" x14ac:dyDescent="0.3">
      <c r="A257" s="106" t="s">
        <v>1266</v>
      </c>
      <c r="B257" s="107" t="s">
        <v>1267</v>
      </c>
      <c r="C257" s="106" t="s">
        <v>879</v>
      </c>
      <c r="D257" s="106" t="s">
        <v>1268</v>
      </c>
      <c r="E257" s="108">
        <v>2014</v>
      </c>
      <c r="F257" s="109"/>
    </row>
    <row r="258" spans="1:6" s="87" customFormat="1" ht="16.5" x14ac:dyDescent="0.3">
      <c r="A258" s="106" t="s">
        <v>1269</v>
      </c>
      <c r="B258" s="107" t="s">
        <v>1270</v>
      </c>
      <c r="C258" s="106" t="s">
        <v>879</v>
      </c>
      <c r="D258" s="106" t="s">
        <v>1188</v>
      </c>
      <c r="E258" s="108">
        <v>1987</v>
      </c>
      <c r="F258" s="109"/>
    </row>
    <row r="259" spans="1:6" s="87" customFormat="1" ht="16.5" x14ac:dyDescent="0.3">
      <c r="A259" s="106" t="s">
        <v>1271</v>
      </c>
      <c r="B259" s="107" t="s">
        <v>1272</v>
      </c>
      <c r="C259" s="108">
        <v>3</v>
      </c>
      <c r="D259" s="108">
        <v>84</v>
      </c>
      <c r="E259" s="108">
        <v>2004</v>
      </c>
      <c r="F259" s="109"/>
    </row>
    <row r="260" spans="1:6" s="87" customFormat="1" ht="16.5" x14ac:dyDescent="0.3">
      <c r="A260" s="106" t="s">
        <v>1273</v>
      </c>
      <c r="B260" s="107" t="s">
        <v>1274</v>
      </c>
      <c r="C260" s="106" t="s">
        <v>879</v>
      </c>
      <c r="D260" s="106" t="s">
        <v>1275</v>
      </c>
      <c r="E260" s="108">
        <v>1999</v>
      </c>
      <c r="F260" s="109"/>
    </row>
    <row r="261" spans="1:6" s="87" customFormat="1" ht="16.5" x14ac:dyDescent="0.3">
      <c r="A261" s="106" t="s">
        <v>1276</v>
      </c>
      <c r="B261" s="107" t="s">
        <v>1277</v>
      </c>
      <c r="C261" s="106" t="s">
        <v>879</v>
      </c>
      <c r="D261" s="108">
        <v>57</v>
      </c>
      <c r="E261" s="108">
        <v>1993</v>
      </c>
      <c r="F261" s="109"/>
    </row>
    <row r="262" spans="1:6" s="87" customFormat="1" ht="16.5" x14ac:dyDescent="0.3">
      <c r="A262" s="106" t="s">
        <v>1278</v>
      </c>
      <c r="B262" s="107" t="s">
        <v>1279</v>
      </c>
      <c r="C262" s="108">
        <v>3</v>
      </c>
      <c r="D262" s="106" t="s">
        <v>1280</v>
      </c>
      <c r="E262" s="108">
        <v>1987</v>
      </c>
      <c r="F262" s="109"/>
    </row>
    <row r="263" spans="1:6" s="87" customFormat="1" ht="16.5" x14ac:dyDescent="0.3">
      <c r="A263" s="106" t="s">
        <v>1281</v>
      </c>
      <c r="B263" s="107" t="s">
        <v>1282</v>
      </c>
      <c r="C263" s="108">
        <v>3</v>
      </c>
      <c r="D263" s="106" t="s">
        <v>1041</v>
      </c>
      <c r="E263" s="108">
        <v>1999</v>
      </c>
      <c r="F263" s="109"/>
    </row>
    <row r="264" spans="1:6" s="87" customFormat="1" ht="16.5" x14ac:dyDescent="0.3">
      <c r="A264" s="106" t="s">
        <v>1283</v>
      </c>
      <c r="B264" s="107" t="s">
        <v>1284</v>
      </c>
      <c r="C264" s="106" t="s">
        <v>879</v>
      </c>
      <c r="D264" s="106" t="s">
        <v>1180</v>
      </c>
      <c r="E264" s="108">
        <v>1994</v>
      </c>
      <c r="F264" s="109"/>
    </row>
    <row r="265" spans="1:6" s="87" customFormat="1" ht="66" x14ac:dyDescent="0.3">
      <c r="A265" s="106" t="s">
        <v>1285</v>
      </c>
      <c r="B265" s="107" t="s">
        <v>1286</v>
      </c>
      <c r="C265" s="106" t="s">
        <v>879</v>
      </c>
      <c r="D265" s="106" t="s">
        <v>1287</v>
      </c>
      <c r="E265" s="108">
        <v>1999</v>
      </c>
      <c r="F265" s="109" t="s">
        <v>957</v>
      </c>
    </row>
    <row r="266" spans="1:6" s="87" customFormat="1" ht="66" x14ac:dyDescent="0.3">
      <c r="A266" s="106" t="s">
        <v>1288</v>
      </c>
      <c r="B266" s="107" t="s">
        <v>1289</v>
      </c>
      <c r="C266" s="106" t="s">
        <v>906</v>
      </c>
      <c r="D266" s="106" t="s">
        <v>1290</v>
      </c>
      <c r="E266" s="108">
        <v>1999</v>
      </c>
      <c r="F266" s="109" t="s">
        <v>1291</v>
      </c>
    </row>
    <row r="267" spans="1:6" s="87" customFormat="1" ht="16.5" x14ac:dyDescent="0.3">
      <c r="A267" s="106" t="s">
        <v>1292</v>
      </c>
      <c r="B267" s="107" t="s">
        <v>1293</v>
      </c>
      <c r="C267" s="106" t="s">
        <v>906</v>
      </c>
      <c r="D267" s="108">
        <v>125</v>
      </c>
      <c r="E267" s="106" t="s">
        <v>1083</v>
      </c>
      <c r="F267" s="109"/>
    </row>
    <row r="268" spans="1:6" s="87" customFormat="1" ht="66" x14ac:dyDescent="0.3">
      <c r="A268" s="106" t="s">
        <v>1294</v>
      </c>
      <c r="B268" s="107" t="s">
        <v>1295</v>
      </c>
      <c r="C268" s="106" t="s">
        <v>906</v>
      </c>
      <c r="D268" s="106" t="s">
        <v>1041</v>
      </c>
      <c r="E268" s="108">
        <v>1999</v>
      </c>
      <c r="F268" s="109" t="s">
        <v>1291</v>
      </c>
    </row>
    <row r="269" spans="1:6" s="87" customFormat="1" ht="16.5" x14ac:dyDescent="0.3">
      <c r="A269" s="106" t="s">
        <v>1296</v>
      </c>
      <c r="B269" s="107" t="s">
        <v>1297</v>
      </c>
      <c r="C269" s="106" t="s">
        <v>879</v>
      </c>
      <c r="D269" s="108">
        <v>115</v>
      </c>
      <c r="E269" s="108">
        <v>2018</v>
      </c>
      <c r="F269" s="109"/>
    </row>
    <row r="270" spans="1:6" s="87" customFormat="1" ht="16.5" x14ac:dyDescent="0.3">
      <c r="A270" s="106" t="s">
        <v>1298</v>
      </c>
      <c r="B270" s="107" t="s">
        <v>1299</v>
      </c>
      <c r="C270" s="108">
        <v>1</v>
      </c>
      <c r="D270" s="106" t="s">
        <v>1300</v>
      </c>
      <c r="E270" s="108">
        <v>2012</v>
      </c>
      <c r="F270" s="109"/>
    </row>
    <row r="271" spans="1:6" s="87" customFormat="1" ht="16.5" x14ac:dyDescent="0.3">
      <c r="A271" s="106" t="s">
        <v>1301</v>
      </c>
      <c r="B271" s="107" t="s">
        <v>1302</v>
      </c>
      <c r="C271" s="106" t="s">
        <v>906</v>
      </c>
      <c r="D271" s="106" t="s">
        <v>1303</v>
      </c>
      <c r="E271" s="106" t="s">
        <v>911</v>
      </c>
      <c r="F271" s="109"/>
    </row>
    <row r="272" spans="1:6" s="87" customFormat="1" ht="16.5" x14ac:dyDescent="0.3">
      <c r="A272" s="106" t="s">
        <v>1304</v>
      </c>
      <c r="B272" s="107" t="s">
        <v>1305</v>
      </c>
      <c r="C272" s="108">
        <v>3</v>
      </c>
      <c r="D272" s="106" t="s">
        <v>1306</v>
      </c>
      <c r="E272" s="106" t="s">
        <v>1083</v>
      </c>
      <c r="F272" s="109"/>
    </row>
    <row r="273" spans="1:6" s="87" customFormat="1" ht="16.5" x14ac:dyDescent="0.3">
      <c r="A273" s="106" t="s">
        <v>1307</v>
      </c>
      <c r="B273" s="107" t="s">
        <v>1308</v>
      </c>
      <c r="C273" s="106" t="s">
        <v>879</v>
      </c>
      <c r="D273" s="106" t="s">
        <v>1309</v>
      </c>
      <c r="E273" s="108">
        <v>1999</v>
      </c>
      <c r="F273" s="109"/>
    </row>
    <row r="274" spans="1:6" s="87" customFormat="1" ht="16.5" x14ac:dyDescent="0.3">
      <c r="A274" s="106" t="s">
        <v>1310</v>
      </c>
      <c r="B274" s="107" t="s">
        <v>1311</v>
      </c>
      <c r="C274" s="106" t="s">
        <v>879</v>
      </c>
      <c r="D274" s="108">
        <v>71</v>
      </c>
      <c r="E274" s="108">
        <v>1999</v>
      </c>
      <c r="F274" s="109"/>
    </row>
    <row r="275" spans="1:6" s="87" customFormat="1" ht="16.5" x14ac:dyDescent="0.3">
      <c r="A275" s="106" t="s">
        <v>1312</v>
      </c>
      <c r="B275" s="107" t="s">
        <v>1313</v>
      </c>
      <c r="C275" s="108">
        <v>3</v>
      </c>
      <c r="D275" s="106" t="s">
        <v>1314</v>
      </c>
      <c r="E275" s="108">
        <v>1999</v>
      </c>
      <c r="F275" s="109"/>
    </row>
    <row r="276" spans="1:6" s="87" customFormat="1" ht="33" x14ac:dyDescent="0.3">
      <c r="A276" s="106" t="s">
        <v>1315</v>
      </c>
      <c r="B276" s="107" t="s">
        <v>1316</v>
      </c>
      <c r="C276" s="106"/>
      <c r="D276" s="106"/>
      <c r="E276" s="106"/>
      <c r="F276" s="109"/>
    </row>
    <row r="277" spans="1:6" s="87" customFormat="1" ht="16.5" x14ac:dyDescent="0.3">
      <c r="A277" s="106" t="s">
        <v>1317</v>
      </c>
      <c r="B277" s="107" t="s">
        <v>1318</v>
      </c>
      <c r="C277" s="106" t="s">
        <v>906</v>
      </c>
      <c r="D277" s="108">
        <v>112</v>
      </c>
      <c r="E277" s="108">
        <v>2017</v>
      </c>
      <c r="F277" s="109"/>
    </row>
    <row r="278" spans="1:6" s="87" customFormat="1" ht="16.5" x14ac:dyDescent="0.3">
      <c r="A278" s="106" t="s">
        <v>1319</v>
      </c>
      <c r="B278" s="107" t="s">
        <v>1320</v>
      </c>
      <c r="C278" s="108">
        <v>3</v>
      </c>
      <c r="D278" s="106" t="s">
        <v>1321</v>
      </c>
      <c r="E278" s="108">
        <v>1987</v>
      </c>
      <c r="F278" s="109"/>
    </row>
    <row r="279" spans="1:6" s="87" customFormat="1" ht="16.5" x14ac:dyDescent="0.2">
      <c r="A279" s="106" t="s">
        <v>1322</v>
      </c>
      <c r="B279" s="107" t="s">
        <v>1323</v>
      </c>
      <c r="C279" s="106" t="s">
        <v>879</v>
      </c>
      <c r="D279" s="106" t="s">
        <v>1324</v>
      </c>
      <c r="E279" s="108">
        <v>1995</v>
      </c>
      <c r="F279" s="111"/>
    </row>
    <row r="280" spans="1:6" s="87" customFormat="1" ht="16.5" x14ac:dyDescent="0.2">
      <c r="A280" s="106" t="s">
        <v>1325</v>
      </c>
      <c r="B280" s="107" t="s">
        <v>1326</v>
      </c>
      <c r="C280" s="106" t="s">
        <v>879</v>
      </c>
      <c r="D280" s="108">
        <v>101</v>
      </c>
      <c r="E280" s="108">
        <v>2013</v>
      </c>
      <c r="F280" s="111"/>
    </row>
    <row r="281" spans="1:6" s="87" customFormat="1" ht="16.5" x14ac:dyDescent="0.2">
      <c r="A281" s="106" t="s">
        <v>1327</v>
      </c>
      <c r="B281" s="107" t="s">
        <v>1328</v>
      </c>
      <c r="C281" s="108">
        <v>3</v>
      </c>
      <c r="D281" s="106" t="s">
        <v>1246</v>
      </c>
      <c r="E281" s="108">
        <v>1987</v>
      </c>
      <c r="F281" s="111"/>
    </row>
    <row r="282" spans="1:6" s="87" customFormat="1" ht="16.5" x14ac:dyDescent="0.2">
      <c r="A282" s="106" t="s">
        <v>1329</v>
      </c>
      <c r="B282" s="107" t="s">
        <v>1330</v>
      </c>
      <c r="C282" s="108">
        <v>3</v>
      </c>
      <c r="D282" s="106" t="s">
        <v>1280</v>
      </c>
      <c r="E282" s="108">
        <v>1987</v>
      </c>
      <c r="F282" s="111"/>
    </row>
    <row r="283" spans="1:6" s="87" customFormat="1" ht="16.5" x14ac:dyDescent="0.2">
      <c r="A283" s="106" t="s">
        <v>1331</v>
      </c>
      <c r="B283" s="107" t="s">
        <v>1332</v>
      </c>
      <c r="C283" s="108">
        <v>3</v>
      </c>
      <c r="D283" s="106" t="s">
        <v>1041</v>
      </c>
      <c r="E283" s="108">
        <v>1999</v>
      </c>
      <c r="F283" s="111"/>
    </row>
    <row r="284" spans="1:6" s="87" customFormat="1" ht="16.5" x14ac:dyDescent="0.2">
      <c r="A284" s="106" t="s">
        <v>1333</v>
      </c>
      <c r="B284" s="107" t="s">
        <v>1334</v>
      </c>
      <c r="C284" s="108">
        <v>3</v>
      </c>
      <c r="D284" s="106" t="s">
        <v>1335</v>
      </c>
      <c r="E284" s="108">
        <v>1999</v>
      </c>
      <c r="F284" s="111"/>
    </row>
    <row r="285" spans="1:6" s="87" customFormat="1" ht="16.5" x14ac:dyDescent="0.2">
      <c r="A285" s="106" t="s">
        <v>1336</v>
      </c>
      <c r="B285" s="107" t="s">
        <v>1337</v>
      </c>
      <c r="C285" s="106" t="s">
        <v>879</v>
      </c>
      <c r="D285" s="106" t="s">
        <v>1338</v>
      </c>
      <c r="E285" s="108">
        <v>2019</v>
      </c>
      <c r="F285" s="111"/>
    </row>
    <row r="286" spans="1:6" s="87" customFormat="1" ht="16.5" x14ac:dyDescent="0.2">
      <c r="A286" s="106" t="s">
        <v>1339</v>
      </c>
      <c r="B286" s="107" t="s">
        <v>1340</v>
      </c>
      <c r="C286" s="108">
        <v>3</v>
      </c>
      <c r="D286" s="106" t="s">
        <v>1287</v>
      </c>
      <c r="E286" s="108">
        <v>1999</v>
      </c>
      <c r="F286" s="111"/>
    </row>
    <row r="287" spans="1:6" s="87" customFormat="1" ht="16.5" x14ac:dyDescent="0.2">
      <c r="A287" s="106" t="s">
        <v>566</v>
      </c>
      <c r="B287" s="107" t="s">
        <v>1341</v>
      </c>
      <c r="C287" s="108">
        <v>3</v>
      </c>
      <c r="D287" s="106" t="s">
        <v>1287</v>
      </c>
      <c r="E287" s="108">
        <v>1999</v>
      </c>
      <c r="F287" s="111"/>
    </row>
    <row r="288" spans="1:6" s="87" customFormat="1" ht="16.5" x14ac:dyDescent="0.2">
      <c r="A288" s="106" t="s">
        <v>1342</v>
      </c>
      <c r="B288" s="107" t="s">
        <v>1343</v>
      </c>
      <c r="C288" s="108">
        <v>3</v>
      </c>
      <c r="D288" s="106" t="s">
        <v>1287</v>
      </c>
      <c r="E288" s="108">
        <v>1999</v>
      </c>
      <c r="F288" s="111"/>
    </row>
    <row r="289" spans="1:6" s="87" customFormat="1" ht="16.5" x14ac:dyDescent="0.2">
      <c r="A289" s="106" t="s">
        <v>1344</v>
      </c>
      <c r="B289" s="107" t="s">
        <v>1345</v>
      </c>
      <c r="C289" s="108">
        <v>3</v>
      </c>
      <c r="D289" s="108">
        <v>122</v>
      </c>
      <c r="E289" s="108">
        <v>2019</v>
      </c>
      <c r="F289" s="111"/>
    </row>
    <row r="290" spans="1:6" s="87" customFormat="1" ht="16.5" x14ac:dyDescent="0.2">
      <c r="A290" s="106" t="s">
        <v>1346</v>
      </c>
      <c r="B290" s="107" t="s">
        <v>1347</v>
      </c>
      <c r="C290" s="106" t="s">
        <v>879</v>
      </c>
      <c r="D290" s="108">
        <v>125</v>
      </c>
      <c r="E290" s="106" t="s">
        <v>1083</v>
      </c>
      <c r="F290" s="111"/>
    </row>
    <row r="291" spans="1:6" s="87" customFormat="1" ht="16.5" x14ac:dyDescent="0.2">
      <c r="A291" s="106" t="s">
        <v>1348</v>
      </c>
      <c r="B291" s="107" t="s">
        <v>1349</v>
      </c>
      <c r="C291" s="106" t="s">
        <v>879</v>
      </c>
      <c r="D291" s="108">
        <v>119</v>
      </c>
      <c r="E291" s="108">
        <v>2019</v>
      </c>
      <c r="F291" s="111"/>
    </row>
    <row r="292" spans="1:6" s="87" customFormat="1" ht="16.5" x14ac:dyDescent="0.2">
      <c r="A292" s="106" t="s">
        <v>1350</v>
      </c>
      <c r="B292" s="107" t="s">
        <v>1351</v>
      </c>
      <c r="C292" s="106" t="s">
        <v>879</v>
      </c>
      <c r="D292" s="108">
        <v>63</v>
      </c>
      <c r="E292" s="108">
        <v>1995</v>
      </c>
      <c r="F292" s="111"/>
    </row>
    <row r="293" spans="1:6" s="87" customFormat="1" ht="16.5" x14ac:dyDescent="0.2">
      <c r="A293" s="106" t="s">
        <v>1352</v>
      </c>
      <c r="B293" s="107" t="s">
        <v>1353</v>
      </c>
      <c r="C293" s="108">
        <v>3</v>
      </c>
      <c r="D293" s="106" t="s">
        <v>1041</v>
      </c>
      <c r="E293" s="108">
        <v>1999</v>
      </c>
      <c r="F293" s="111"/>
    </row>
    <row r="294" spans="1:6" s="87" customFormat="1" ht="16.5" x14ac:dyDescent="0.2">
      <c r="A294" s="106" t="s">
        <v>1354</v>
      </c>
      <c r="B294" s="107" t="s">
        <v>1355</v>
      </c>
      <c r="C294" s="106" t="s">
        <v>879</v>
      </c>
      <c r="D294" s="106" t="s">
        <v>1356</v>
      </c>
      <c r="E294" s="108">
        <v>2019</v>
      </c>
      <c r="F294" s="111"/>
    </row>
    <row r="295" spans="1:6" s="87" customFormat="1" ht="16.5" x14ac:dyDescent="0.3">
      <c r="A295" s="106" t="s">
        <v>1357</v>
      </c>
      <c r="B295" s="107" t="s">
        <v>1358</v>
      </c>
      <c r="C295" s="108">
        <v>3</v>
      </c>
      <c r="D295" s="106" t="s">
        <v>1287</v>
      </c>
      <c r="E295" s="108">
        <v>1999</v>
      </c>
      <c r="F295" s="109"/>
    </row>
    <row r="296" spans="1:6" s="87" customFormat="1" ht="66" x14ac:dyDescent="0.3">
      <c r="A296" s="106" t="s">
        <v>1359</v>
      </c>
      <c r="B296" s="107" t="s">
        <v>1360</v>
      </c>
      <c r="C296" s="106" t="s">
        <v>879</v>
      </c>
      <c r="D296" s="106" t="s">
        <v>1361</v>
      </c>
      <c r="E296" s="108">
        <v>1987</v>
      </c>
      <c r="F296" s="109" t="s">
        <v>957</v>
      </c>
    </row>
    <row r="297" spans="1:6" s="87" customFormat="1" ht="16.5" x14ac:dyDescent="0.3">
      <c r="A297" s="106" t="s">
        <v>1362</v>
      </c>
      <c r="B297" s="107" t="s">
        <v>1363</v>
      </c>
      <c r="C297" s="106" t="s">
        <v>879</v>
      </c>
      <c r="D297" s="106" t="s">
        <v>1364</v>
      </c>
      <c r="E297" s="108">
        <v>2013</v>
      </c>
      <c r="F297" s="109"/>
    </row>
    <row r="298" spans="1:6" s="87" customFormat="1" ht="16.5" x14ac:dyDescent="0.3">
      <c r="A298" s="106" t="s">
        <v>1365</v>
      </c>
      <c r="B298" s="107" t="s">
        <v>1366</v>
      </c>
      <c r="C298" s="108">
        <v>3</v>
      </c>
      <c r="D298" s="106" t="s">
        <v>1367</v>
      </c>
      <c r="E298" s="108">
        <v>1999</v>
      </c>
      <c r="F298" s="109"/>
    </row>
    <row r="299" spans="1:6" s="87" customFormat="1" ht="16.5" x14ac:dyDescent="0.3">
      <c r="A299" s="106" t="s">
        <v>627</v>
      </c>
      <c r="B299" s="107" t="s">
        <v>1368</v>
      </c>
      <c r="C299" s="108">
        <v>3</v>
      </c>
      <c r="D299" s="108">
        <v>88</v>
      </c>
      <c r="E299" s="108">
        <v>2006</v>
      </c>
      <c r="F299" s="109"/>
    </row>
    <row r="300" spans="1:6" s="87" customFormat="1" ht="16.5" x14ac:dyDescent="0.3">
      <c r="A300" s="106" t="s">
        <v>1369</v>
      </c>
      <c r="B300" s="107" t="s">
        <v>1370</v>
      </c>
      <c r="C300" s="106" t="s">
        <v>906</v>
      </c>
      <c r="D300" s="108">
        <v>108</v>
      </c>
      <c r="E300" s="108">
        <v>2016</v>
      </c>
      <c r="F300" s="109"/>
    </row>
    <row r="301" spans="1:6" s="87" customFormat="1" ht="16.5" x14ac:dyDescent="0.3">
      <c r="A301" s="106" t="s">
        <v>1371</v>
      </c>
      <c r="B301" s="107" t="s">
        <v>1372</v>
      </c>
      <c r="C301" s="108">
        <v>3</v>
      </c>
      <c r="D301" s="108">
        <v>92</v>
      </c>
      <c r="E301" s="108">
        <v>2010</v>
      </c>
      <c r="F301" s="109"/>
    </row>
    <row r="302" spans="1:6" s="87" customFormat="1" ht="16.5" x14ac:dyDescent="0.3">
      <c r="A302" s="106" t="s">
        <v>1373</v>
      </c>
      <c r="B302" s="107" t="s">
        <v>1374</v>
      </c>
      <c r="C302" s="106" t="s">
        <v>879</v>
      </c>
      <c r="D302" s="106" t="s">
        <v>1375</v>
      </c>
      <c r="E302" s="108">
        <v>2000</v>
      </c>
      <c r="F302" s="109"/>
    </row>
    <row r="303" spans="1:6" s="87" customFormat="1" ht="66" x14ac:dyDescent="0.3">
      <c r="A303" s="106" t="s">
        <v>1376</v>
      </c>
      <c r="B303" s="107" t="s">
        <v>1377</v>
      </c>
      <c r="C303" s="106" t="s">
        <v>906</v>
      </c>
      <c r="D303" s="106" t="s">
        <v>1378</v>
      </c>
      <c r="E303" s="108">
        <v>2017</v>
      </c>
      <c r="F303" s="109" t="s">
        <v>1291</v>
      </c>
    </row>
    <row r="304" spans="1:6" s="87" customFormat="1" ht="16.5" x14ac:dyDescent="0.3">
      <c r="A304" s="106" t="s">
        <v>1379</v>
      </c>
      <c r="B304" s="107" t="s">
        <v>1380</v>
      </c>
      <c r="C304" s="108">
        <v>3</v>
      </c>
      <c r="D304" s="106" t="s">
        <v>1381</v>
      </c>
      <c r="E304" s="108">
        <v>1987</v>
      </c>
      <c r="F304" s="109"/>
    </row>
    <row r="305" spans="1:6" s="87" customFormat="1" ht="16.5" x14ac:dyDescent="0.3">
      <c r="A305" s="106" t="s">
        <v>1382</v>
      </c>
      <c r="B305" s="107" t="s">
        <v>1383</v>
      </c>
      <c r="C305" s="106" t="s">
        <v>879</v>
      </c>
      <c r="D305" s="106" t="s">
        <v>1196</v>
      </c>
      <c r="E305" s="108">
        <v>1987</v>
      </c>
      <c r="F305" s="109"/>
    </row>
    <row r="306" spans="1:6" s="87" customFormat="1" ht="16.5" x14ac:dyDescent="0.3">
      <c r="A306" s="106" t="s">
        <v>1384</v>
      </c>
      <c r="B306" s="107" t="s">
        <v>1385</v>
      </c>
      <c r="C306" s="108">
        <v>3</v>
      </c>
      <c r="D306" s="106" t="s">
        <v>1180</v>
      </c>
      <c r="E306" s="108">
        <v>1994</v>
      </c>
      <c r="F306" s="109"/>
    </row>
    <row r="307" spans="1:6" s="87" customFormat="1" ht="16.5" x14ac:dyDescent="0.3">
      <c r="A307" s="106" t="s">
        <v>1386</v>
      </c>
      <c r="B307" s="107" t="s">
        <v>1387</v>
      </c>
      <c r="C307" s="106" t="s">
        <v>879</v>
      </c>
      <c r="D307" s="108">
        <v>48</v>
      </c>
      <c r="E307" s="108">
        <v>1990</v>
      </c>
      <c r="F307" s="109"/>
    </row>
    <row r="308" spans="1:6" s="87" customFormat="1" ht="16.5" x14ac:dyDescent="0.3">
      <c r="A308" s="106" t="s">
        <v>1388</v>
      </c>
      <c r="B308" s="107" t="s">
        <v>1389</v>
      </c>
      <c r="C308" s="108">
        <v>3</v>
      </c>
      <c r="D308" s="106" t="s">
        <v>1390</v>
      </c>
      <c r="E308" s="108">
        <v>1987</v>
      </c>
      <c r="F308" s="109"/>
    </row>
    <row r="309" spans="1:6" s="87" customFormat="1" ht="16.5" x14ac:dyDescent="0.3">
      <c r="A309" s="106" t="s">
        <v>1391</v>
      </c>
      <c r="B309" s="107" t="s">
        <v>1392</v>
      </c>
      <c r="C309" s="108">
        <v>3</v>
      </c>
      <c r="D309" s="106" t="s">
        <v>1149</v>
      </c>
      <c r="E309" s="108">
        <v>1999</v>
      </c>
      <c r="F309" s="109"/>
    </row>
    <row r="310" spans="1:6" s="87" customFormat="1" ht="16.5" x14ac:dyDescent="0.3">
      <c r="A310" s="106" t="s">
        <v>1393</v>
      </c>
      <c r="B310" s="107" t="s">
        <v>1394</v>
      </c>
      <c r="C310" s="108">
        <v>3</v>
      </c>
      <c r="D310" s="108">
        <v>53</v>
      </c>
      <c r="E310" s="108">
        <v>1991</v>
      </c>
      <c r="F310" s="109"/>
    </row>
    <row r="311" spans="1:6" s="87" customFormat="1" ht="99" x14ac:dyDescent="0.3">
      <c r="A311" s="106" t="s">
        <v>1395</v>
      </c>
      <c r="B311" s="107" t="s">
        <v>1396</v>
      </c>
      <c r="C311" s="106" t="s">
        <v>906</v>
      </c>
      <c r="D311" s="106" t="s">
        <v>1397</v>
      </c>
      <c r="E311" s="108">
        <v>2017</v>
      </c>
      <c r="F311" s="109" t="s">
        <v>1398</v>
      </c>
    </row>
    <row r="312" spans="1:6" s="87" customFormat="1" ht="16.5" x14ac:dyDescent="0.3">
      <c r="A312" s="106" t="s">
        <v>1399</v>
      </c>
      <c r="B312" s="107" t="s">
        <v>1400</v>
      </c>
      <c r="C312" s="108">
        <v>3</v>
      </c>
      <c r="D312" s="106" t="s">
        <v>1149</v>
      </c>
      <c r="E312" s="108">
        <v>1999</v>
      </c>
      <c r="F312" s="109"/>
    </row>
    <row r="313" spans="1:6" s="87" customFormat="1" ht="33" x14ac:dyDescent="0.3">
      <c r="A313" s="106" t="s">
        <v>1401</v>
      </c>
      <c r="B313" s="107" t="s">
        <v>1402</v>
      </c>
      <c r="C313" s="106" t="s">
        <v>879</v>
      </c>
      <c r="D313" s="108">
        <v>56</v>
      </c>
      <c r="E313" s="108">
        <v>1993</v>
      </c>
      <c r="F313" s="109"/>
    </row>
    <row r="314" spans="1:6" s="87" customFormat="1" ht="16.5" x14ac:dyDescent="0.3">
      <c r="A314" s="106" t="s">
        <v>1401</v>
      </c>
      <c r="B314" s="107" t="s">
        <v>1403</v>
      </c>
      <c r="C314" s="106" t="s">
        <v>879</v>
      </c>
      <c r="D314" s="108">
        <v>82</v>
      </c>
      <c r="E314" s="108">
        <v>2002</v>
      </c>
      <c r="F314" s="109"/>
    </row>
    <row r="315" spans="1:6" s="87" customFormat="1" ht="16.5" x14ac:dyDescent="0.3">
      <c r="A315" s="106" t="s">
        <v>1404</v>
      </c>
      <c r="B315" s="107" t="s">
        <v>1405</v>
      </c>
      <c r="C315" s="106" t="s">
        <v>879</v>
      </c>
      <c r="D315" s="108">
        <v>50</v>
      </c>
      <c r="E315" s="108">
        <v>1990</v>
      </c>
      <c r="F315" s="109"/>
    </row>
    <row r="316" spans="1:6" s="87" customFormat="1" ht="16.5" x14ac:dyDescent="0.3">
      <c r="A316" s="106" t="s">
        <v>1406</v>
      </c>
      <c r="B316" s="107" t="s">
        <v>1407</v>
      </c>
      <c r="C316" s="108">
        <v>3</v>
      </c>
      <c r="D316" s="106" t="s">
        <v>1275</v>
      </c>
      <c r="E316" s="108">
        <v>1999</v>
      </c>
      <c r="F316" s="109"/>
    </row>
    <row r="317" spans="1:6" s="87" customFormat="1" ht="16.5" x14ac:dyDescent="0.3">
      <c r="A317" s="106" t="s">
        <v>1408</v>
      </c>
      <c r="B317" s="107" t="s">
        <v>1409</v>
      </c>
      <c r="C317" s="108">
        <v>3</v>
      </c>
      <c r="D317" s="106" t="s">
        <v>1227</v>
      </c>
      <c r="E317" s="108">
        <v>1987</v>
      </c>
      <c r="F317" s="109"/>
    </row>
    <row r="318" spans="1:6" s="87" customFormat="1" ht="16.5" x14ac:dyDescent="0.3">
      <c r="A318" s="106" t="s">
        <v>1410</v>
      </c>
      <c r="B318" s="107" t="s">
        <v>1411</v>
      </c>
      <c r="C318" s="106"/>
      <c r="D318" s="106"/>
      <c r="E318" s="106"/>
      <c r="F318" s="109"/>
    </row>
    <row r="319" spans="1:6" s="87" customFormat="1" ht="16.5" x14ac:dyDescent="0.3">
      <c r="A319" s="106" t="s">
        <v>1410</v>
      </c>
      <c r="B319" s="107" t="s">
        <v>1412</v>
      </c>
      <c r="C319" s="106" t="s">
        <v>879</v>
      </c>
      <c r="D319" s="106" t="s">
        <v>1413</v>
      </c>
      <c r="E319" s="108">
        <v>2013</v>
      </c>
      <c r="F319" s="109"/>
    </row>
    <row r="320" spans="1:6" s="87" customFormat="1" ht="16.5" x14ac:dyDescent="0.3">
      <c r="A320" s="106" t="s">
        <v>1414</v>
      </c>
      <c r="B320" s="107" t="s">
        <v>1415</v>
      </c>
      <c r="C320" s="106" t="s">
        <v>879</v>
      </c>
      <c r="D320" s="106" t="s">
        <v>1416</v>
      </c>
      <c r="E320" s="108">
        <v>2001</v>
      </c>
      <c r="F320" s="109"/>
    </row>
    <row r="321" spans="1:6" s="87" customFormat="1" ht="16.5" x14ac:dyDescent="0.3">
      <c r="A321" s="106" t="s">
        <v>1417</v>
      </c>
      <c r="B321" s="107" t="s">
        <v>1418</v>
      </c>
      <c r="C321" s="108">
        <v>3</v>
      </c>
      <c r="D321" s="106" t="s">
        <v>1280</v>
      </c>
      <c r="E321" s="108">
        <v>1987</v>
      </c>
      <c r="F321" s="109"/>
    </row>
    <row r="322" spans="1:6" s="87" customFormat="1" ht="16.5" x14ac:dyDescent="0.3">
      <c r="A322" s="106" t="s">
        <v>1419</v>
      </c>
      <c r="B322" s="107" t="s">
        <v>1420</v>
      </c>
      <c r="C322" s="108">
        <v>3</v>
      </c>
      <c r="D322" s="108">
        <v>65</v>
      </c>
      <c r="E322" s="108">
        <v>1996</v>
      </c>
      <c r="F322" s="109"/>
    </row>
    <row r="323" spans="1:6" s="87" customFormat="1" ht="16.5" x14ac:dyDescent="0.3">
      <c r="A323" s="106" t="s">
        <v>1421</v>
      </c>
      <c r="B323" s="107" t="s">
        <v>1422</v>
      </c>
      <c r="C323" s="108">
        <v>3</v>
      </c>
      <c r="D323" s="108">
        <v>94</v>
      </c>
      <c r="E323" s="108">
        <v>2010</v>
      </c>
      <c r="F323" s="109"/>
    </row>
    <row r="324" spans="1:6" s="87" customFormat="1" ht="16.5" x14ac:dyDescent="0.3">
      <c r="A324" s="106" t="s">
        <v>1423</v>
      </c>
      <c r="B324" s="107" t="s">
        <v>1424</v>
      </c>
      <c r="C324" s="108">
        <v>3</v>
      </c>
      <c r="D324" s="106" t="s">
        <v>1280</v>
      </c>
      <c r="E324" s="108">
        <v>1987</v>
      </c>
      <c r="F324" s="109"/>
    </row>
    <row r="325" spans="1:6" s="87" customFormat="1" ht="16.5" x14ac:dyDescent="0.3">
      <c r="A325" s="106" t="s">
        <v>1425</v>
      </c>
      <c r="B325" s="107" t="s">
        <v>1426</v>
      </c>
      <c r="C325" s="106" t="s">
        <v>879</v>
      </c>
      <c r="D325" s="108">
        <v>101</v>
      </c>
      <c r="E325" s="108">
        <v>2013</v>
      </c>
      <c r="F325" s="109"/>
    </row>
    <row r="326" spans="1:6" s="87" customFormat="1" ht="16.5" x14ac:dyDescent="0.3">
      <c r="A326" s="106" t="s">
        <v>1427</v>
      </c>
      <c r="B326" s="107" t="s">
        <v>1428</v>
      </c>
      <c r="C326" s="106" t="s">
        <v>879</v>
      </c>
      <c r="D326" s="106" t="s">
        <v>1429</v>
      </c>
      <c r="E326" s="108">
        <v>1987</v>
      </c>
      <c r="F326" s="109"/>
    </row>
    <row r="327" spans="1:6" s="87" customFormat="1" ht="16.5" x14ac:dyDescent="0.2">
      <c r="A327" s="106" t="s">
        <v>1430</v>
      </c>
      <c r="B327" s="107" t="s">
        <v>1431</v>
      </c>
      <c r="C327" s="106" t="s">
        <v>879</v>
      </c>
      <c r="D327" s="106" t="s">
        <v>1432</v>
      </c>
      <c r="E327" s="108">
        <v>1987</v>
      </c>
      <c r="F327" s="111"/>
    </row>
    <row r="328" spans="1:6" s="87" customFormat="1" ht="16.5" x14ac:dyDescent="0.2">
      <c r="A328" s="106" t="s">
        <v>1433</v>
      </c>
      <c r="B328" s="107" t="s">
        <v>1434</v>
      </c>
      <c r="C328" s="106" t="s">
        <v>879</v>
      </c>
      <c r="D328" s="106" t="s">
        <v>1435</v>
      </c>
      <c r="E328" s="106" t="s">
        <v>976</v>
      </c>
      <c r="F328" s="111"/>
    </row>
    <row r="329" spans="1:6" s="87" customFormat="1" ht="16.5" x14ac:dyDescent="0.2">
      <c r="A329" s="106" t="s">
        <v>1436</v>
      </c>
      <c r="B329" s="107" t="s">
        <v>1437</v>
      </c>
      <c r="C329" s="108">
        <v>3</v>
      </c>
      <c r="D329" s="106" t="s">
        <v>1196</v>
      </c>
      <c r="E329" s="108">
        <v>1987</v>
      </c>
      <c r="F329" s="111"/>
    </row>
    <row r="330" spans="1:6" s="87" customFormat="1" ht="16.5" x14ac:dyDescent="0.2">
      <c r="A330" s="106" t="s">
        <v>1438</v>
      </c>
      <c r="B330" s="107" t="s">
        <v>1439</v>
      </c>
      <c r="C330" s="106" t="s">
        <v>879</v>
      </c>
      <c r="D330" s="106" t="s">
        <v>1227</v>
      </c>
      <c r="E330" s="108">
        <v>1987</v>
      </c>
      <c r="F330" s="111"/>
    </row>
    <row r="331" spans="1:6" s="87" customFormat="1" ht="16.5" x14ac:dyDescent="0.2">
      <c r="A331" s="106" t="s">
        <v>1440</v>
      </c>
      <c r="B331" s="107" t="s">
        <v>1441</v>
      </c>
      <c r="C331" s="106" t="s">
        <v>879</v>
      </c>
      <c r="D331" s="106" t="s">
        <v>1041</v>
      </c>
      <c r="E331" s="108">
        <v>1999</v>
      </c>
      <c r="F331" s="111"/>
    </row>
    <row r="332" spans="1:6" s="87" customFormat="1" ht="16.5" x14ac:dyDescent="0.2">
      <c r="A332" s="106" t="s">
        <v>1442</v>
      </c>
      <c r="B332" s="107" t="s">
        <v>1443</v>
      </c>
      <c r="C332" s="108">
        <v>3</v>
      </c>
      <c r="D332" s="108">
        <v>76</v>
      </c>
      <c r="E332" s="108">
        <v>2000</v>
      </c>
      <c r="F332" s="111"/>
    </row>
    <row r="333" spans="1:6" s="87" customFormat="1" ht="33" x14ac:dyDescent="0.2">
      <c r="A333" s="106" t="s">
        <v>1444</v>
      </c>
      <c r="B333" s="107" t="s">
        <v>1445</v>
      </c>
      <c r="C333" s="106"/>
      <c r="D333" s="106"/>
      <c r="E333" s="106"/>
      <c r="F333" s="111"/>
    </row>
    <row r="334" spans="1:6" s="87" customFormat="1" ht="16.5" x14ac:dyDescent="0.2">
      <c r="A334" s="106" t="s">
        <v>1446</v>
      </c>
      <c r="B334" s="107" t="s">
        <v>1447</v>
      </c>
      <c r="C334" s="106" t="s">
        <v>879</v>
      </c>
      <c r="D334" s="108">
        <v>65</v>
      </c>
      <c r="E334" s="108">
        <v>1996</v>
      </c>
      <c r="F334" s="111"/>
    </row>
    <row r="335" spans="1:6" s="87" customFormat="1" ht="16.5" x14ac:dyDescent="0.2">
      <c r="A335" s="106" t="s">
        <v>1448</v>
      </c>
      <c r="B335" s="107" t="s">
        <v>1449</v>
      </c>
      <c r="C335" s="108">
        <v>3</v>
      </c>
      <c r="D335" s="106" t="s">
        <v>1450</v>
      </c>
      <c r="E335" s="108">
        <v>1987</v>
      </c>
      <c r="F335" s="111"/>
    </row>
    <row r="336" spans="1:6" s="87" customFormat="1" ht="16.5" x14ac:dyDescent="0.2">
      <c r="A336" s="106" t="s">
        <v>1451</v>
      </c>
      <c r="B336" s="107" t="s">
        <v>1452</v>
      </c>
      <c r="C336" s="108">
        <v>3</v>
      </c>
      <c r="D336" s="108">
        <v>57</v>
      </c>
      <c r="E336" s="108">
        <v>1993</v>
      </c>
      <c r="F336" s="111"/>
    </row>
    <row r="337" spans="1:6" s="87" customFormat="1" ht="16.5" x14ac:dyDescent="0.2">
      <c r="A337" s="106" t="s">
        <v>1453</v>
      </c>
      <c r="B337" s="107" t="s">
        <v>1454</v>
      </c>
      <c r="C337" s="108">
        <v>3</v>
      </c>
      <c r="D337" s="108">
        <v>65</v>
      </c>
      <c r="E337" s="108">
        <v>1996</v>
      </c>
      <c r="F337" s="111"/>
    </row>
    <row r="338" spans="1:6" s="87" customFormat="1" ht="16.5" x14ac:dyDescent="0.2">
      <c r="A338" s="106" t="s">
        <v>1455</v>
      </c>
      <c r="B338" s="107" t="s">
        <v>1456</v>
      </c>
      <c r="C338" s="106" t="s">
        <v>906</v>
      </c>
      <c r="D338" s="106" t="s">
        <v>1457</v>
      </c>
      <c r="E338" s="108">
        <v>2017</v>
      </c>
      <c r="F338" s="111"/>
    </row>
    <row r="339" spans="1:6" s="87" customFormat="1" ht="16.5" x14ac:dyDescent="0.2">
      <c r="A339" s="106" t="s">
        <v>1458</v>
      </c>
      <c r="B339" s="107" t="s">
        <v>1459</v>
      </c>
      <c r="C339" s="108">
        <v>3</v>
      </c>
      <c r="D339" s="108">
        <v>57</v>
      </c>
      <c r="E339" s="108">
        <v>1993</v>
      </c>
      <c r="F339" s="111"/>
    </row>
    <row r="340" spans="1:6" s="87" customFormat="1" ht="16.5" x14ac:dyDescent="0.2">
      <c r="A340" s="106" t="s">
        <v>1460</v>
      </c>
      <c r="B340" s="107" t="s">
        <v>1461</v>
      </c>
      <c r="C340" s="108">
        <v>3</v>
      </c>
      <c r="D340" s="106" t="s">
        <v>1205</v>
      </c>
      <c r="E340" s="108">
        <v>1987</v>
      </c>
      <c r="F340" s="111"/>
    </row>
    <row r="341" spans="1:6" s="87" customFormat="1" ht="16.5" x14ac:dyDescent="0.2">
      <c r="A341" s="106" t="s">
        <v>1462</v>
      </c>
      <c r="B341" s="107" t="s">
        <v>1463</v>
      </c>
      <c r="C341" s="106"/>
      <c r="D341" s="106"/>
      <c r="E341" s="106"/>
      <c r="F341" s="111"/>
    </row>
    <row r="342" spans="1:6" s="87" customFormat="1" ht="16.5" x14ac:dyDescent="0.2">
      <c r="A342" s="106" t="s">
        <v>1462</v>
      </c>
      <c r="B342" s="107" t="s">
        <v>1464</v>
      </c>
      <c r="C342" s="106" t="s">
        <v>879</v>
      </c>
      <c r="D342" s="108">
        <v>68</v>
      </c>
      <c r="E342" s="108">
        <v>1997</v>
      </c>
      <c r="F342" s="111"/>
    </row>
    <row r="343" spans="1:6" s="87" customFormat="1" ht="16.5" x14ac:dyDescent="0.2">
      <c r="A343" s="106" t="s">
        <v>1462</v>
      </c>
      <c r="B343" s="107" t="s">
        <v>1465</v>
      </c>
      <c r="C343" s="108">
        <v>3</v>
      </c>
      <c r="D343" s="108">
        <v>68</v>
      </c>
      <c r="E343" s="108">
        <v>1997</v>
      </c>
      <c r="F343" s="111"/>
    </row>
    <row r="344" spans="1:6" s="87" customFormat="1" ht="16.5" x14ac:dyDescent="0.2">
      <c r="A344" s="106" t="s">
        <v>1466</v>
      </c>
      <c r="B344" s="107" t="s">
        <v>1467</v>
      </c>
      <c r="C344" s="108">
        <v>3</v>
      </c>
      <c r="D344" s="106" t="s">
        <v>1468</v>
      </c>
      <c r="E344" s="108">
        <v>1987</v>
      </c>
      <c r="F344" s="111"/>
    </row>
    <row r="345" spans="1:6" s="87" customFormat="1" ht="16.5" x14ac:dyDescent="0.2">
      <c r="A345" s="106" t="s">
        <v>1469</v>
      </c>
      <c r="B345" s="107" t="s">
        <v>1470</v>
      </c>
      <c r="C345" s="108">
        <v>3</v>
      </c>
      <c r="D345" s="106" t="s">
        <v>1471</v>
      </c>
      <c r="E345" s="108">
        <v>1999</v>
      </c>
      <c r="F345" s="111"/>
    </row>
    <row r="346" spans="1:6" s="87" customFormat="1" ht="16.5" x14ac:dyDescent="0.2">
      <c r="A346" s="106" t="s">
        <v>1472</v>
      </c>
      <c r="B346" s="107" t="s">
        <v>1473</v>
      </c>
      <c r="C346" s="106" t="s">
        <v>879</v>
      </c>
      <c r="D346" s="108">
        <v>130</v>
      </c>
      <c r="E346" s="106" t="s">
        <v>1474</v>
      </c>
      <c r="F346" s="111"/>
    </row>
    <row r="347" spans="1:6" s="87" customFormat="1" ht="16.5" x14ac:dyDescent="0.2">
      <c r="A347" s="106" t="s">
        <v>1475</v>
      </c>
      <c r="B347" s="107" t="s">
        <v>1476</v>
      </c>
      <c r="C347" s="108">
        <v>3</v>
      </c>
      <c r="D347" s="106" t="s">
        <v>1205</v>
      </c>
      <c r="E347" s="108">
        <v>1987</v>
      </c>
      <c r="F347" s="111"/>
    </row>
    <row r="348" spans="1:6" s="87" customFormat="1" ht="16.5" x14ac:dyDescent="0.2">
      <c r="A348" s="106" t="s">
        <v>1477</v>
      </c>
      <c r="B348" s="107" t="s">
        <v>1478</v>
      </c>
      <c r="C348" s="106" t="s">
        <v>879</v>
      </c>
      <c r="D348" s="106" t="s">
        <v>1287</v>
      </c>
      <c r="E348" s="108">
        <v>1999</v>
      </c>
      <c r="F348" s="111"/>
    </row>
    <row r="349" spans="1:6" s="87" customFormat="1" ht="16.5" x14ac:dyDescent="0.2">
      <c r="A349" s="106" t="s">
        <v>1479</v>
      </c>
      <c r="B349" s="107" t="s">
        <v>1480</v>
      </c>
      <c r="C349" s="106" t="s">
        <v>879</v>
      </c>
      <c r="D349" s="108">
        <v>130</v>
      </c>
      <c r="E349" s="106" t="s">
        <v>1474</v>
      </c>
      <c r="F349" s="111"/>
    </row>
    <row r="350" spans="1:6" s="87" customFormat="1" ht="16.5" x14ac:dyDescent="0.2">
      <c r="A350" s="106" t="s">
        <v>1481</v>
      </c>
      <c r="B350" s="107" t="s">
        <v>1482</v>
      </c>
      <c r="C350" s="108">
        <v>3</v>
      </c>
      <c r="D350" s="108">
        <v>108</v>
      </c>
      <c r="E350" s="108">
        <v>2016</v>
      </c>
      <c r="F350" s="111"/>
    </row>
    <row r="351" spans="1:6" s="87" customFormat="1" ht="16.5" x14ac:dyDescent="0.2">
      <c r="A351" s="106" t="s">
        <v>1483</v>
      </c>
      <c r="B351" s="107" t="s">
        <v>1484</v>
      </c>
      <c r="C351" s="108">
        <v>3</v>
      </c>
      <c r="D351" s="106" t="s">
        <v>1041</v>
      </c>
      <c r="E351" s="108">
        <v>1999</v>
      </c>
      <c r="F351" s="111"/>
    </row>
    <row r="352" spans="1:6" s="87" customFormat="1" ht="16.5" x14ac:dyDescent="0.2">
      <c r="A352" s="106" t="s">
        <v>1485</v>
      </c>
      <c r="B352" s="107" t="s">
        <v>1486</v>
      </c>
      <c r="C352" s="108">
        <v>3</v>
      </c>
      <c r="D352" s="106" t="s">
        <v>1429</v>
      </c>
      <c r="E352" s="108">
        <v>1987</v>
      </c>
      <c r="F352" s="111"/>
    </row>
    <row r="353" spans="1:6" s="87" customFormat="1" ht="16.5" x14ac:dyDescent="0.2">
      <c r="A353" s="106" t="s">
        <v>1487</v>
      </c>
      <c r="B353" s="107" t="s">
        <v>1488</v>
      </c>
      <c r="C353" s="106" t="s">
        <v>879</v>
      </c>
      <c r="D353" s="108">
        <v>119</v>
      </c>
      <c r="E353" s="108">
        <v>2019</v>
      </c>
      <c r="F353" s="111"/>
    </row>
    <row r="354" spans="1:6" s="87" customFormat="1" ht="16.5" x14ac:dyDescent="0.2">
      <c r="A354" s="106" t="s">
        <v>1489</v>
      </c>
      <c r="B354" s="107" t="s">
        <v>1490</v>
      </c>
      <c r="C354" s="106" t="s">
        <v>879</v>
      </c>
      <c r="D354" s="106" t="s">
        <v>1290</v>
      </c>
      <c r="E354" s="108">
        <v>1999</v>
      </c>
      <c r="F354" s="111"/>
    </row>
    <row r="355" spans="1:6" s="87" customFormat="1" ht="16.5" x14ac:dyDescent="0.2">
      <c r="A355" s="106" t="s">
        <v>1491</v>
      </c>
      <c r="B355" s="107" t="s">
        <v>1492</v>
      </c>
      <c r="C355" s="108">
        <v>3</v>
      </c>
      <c r="D355" s="106" t="s">
        <v>1314</v>
      </c>
      <c r="E355" s="108">
        <v>1999</v>
      </c>
      <c r="F355" s="111"/>
    </row>
    <row r="356" spans="1:6" s="87" customFormat="1" ht="16.5" x14ac:dyDescent="0.2">
      <c r="A356" s="106" t="s">
        <v>1493</v>
      </c>
      <c r="B356" s="107" t="s">
        <v>1494</v>
      </c>
      <c r="C356" s="106" t="s">
        <v>879</v>
      </c>
      <c r="D356" s="106" t="s">
        <v>1051</v>
      </c>
      <c r="E356" s="108">
        <v>2012</v>
      </c>
      <c r="F356" s="111"/>
    </row>
    <row r="357" spans="1:6" s="87" customFormat="1" ht="16.5" x14ac:dyDescent="0.2">
      <c r="A357" s="106" t="s">
        <v>1493</v>
      </c>
      <c r="B357" s="107" t="s">
        <v>1495</v>
      </c>
      <c r="C357" s="106"/>
      <c r="D357" s="106"/>
      <c r="E357" s="106"/>
      <c r="F357" s="111"/>
    </row>
    <row r="358" spans="1:6" s="87" customFormat="1" ht="16.5" x14ac:dyDescent="0.2">
      <c r="A358" s="106" t="s">
        <v>1496</v>
      </c>
      <c r="B358" s="107" t="s">
        <v>1497</v>
      </c>
      <c r="C358" s="108">
        <v>3</v>
      </c>
      <c r="D358" s="106" t="s">
        <v>1205</v>
      </c>
      <c r="E358" s="108">
        <v>1987</v>
      </c>
      <c r="F358" s="111"/>
    </row>
    <row r="359" spans="1:6" s="87" customFormat="1" ht="16.5" x14ac:dyDescent="0.3">
      <c r="A359" s="106" t="s">
        <v>1498</v>
      </c>
      <c r="B359" s="107" t="s">
        <v>1499</v>
      </c>
      <c r="C359" s="106" t="s">
        <v>879</v>
      </c>
      <c r="D359" s="108">
        <v>108</v>
      </c>
      <c r="E359" s="108">
        <v>2016</v>
      </c>
      <c r="F359" s="109"/>
    </row>
    <row r="360" spans="1:6" s="87" customFormat="1" ht="16.5" x14ac:dyDescent="0.3">
      <c r="A360" s="106" t="s">
        <v>1500</v>
      </c>
      <c r="B360" s="107" t="s">
        <v>1501</v>
      </c>
      <c r="C360" s="106" t="s">
        <v>879</v>
      </c>
      <c r="D360" s="106" t="s">
        <v>1416</v>
      </c>
      <c r="E360" s="108">
        <v>2001</v>
      </c>
      <c r="F360" s="109"/>
    </row>
    <row r="361" spans="1:6" s="87" customFormat="1" ht="66" x14ac:dyDescent="0.3">
      <c r="A361" s="106" t="s">
        <v>1502</v>
      </c>
      <c r="B361" s="107" t="s">
        <v>1503</v>
      </c>
      <c r="C361" s="106" t="s">
        <v>906</v>
      </c>
      <c r="D361" s="106" t="s">
        <v>1309</v>
      </c>
      <c r="E361" s="108">
        <v>1999</v>
      </c>
      <c r="F361" s="109" t="s">
        <v>1291</v>
      </c>
    </row>
    <row r="362" spans="1:6" s="87" customFormat="1" ht="16.5" x14ac:dyDescent="0.3">
      <c r="A362" s="106" t="s">
        <v>1504</v>
      </c>
      <c r="B362" s="107" t="s">
        <v>1505</v>
      </c>
      <c r="C362" s="106" t="s">
        <v>879</v>
      </c>
      <c r="D362" s="106" t="s">
        <v>1321</v>
      </c>
      <c r="E362" s="108">
        <v>1987</v>
      </c>
      <c r="F362" s="109"/>
    </row>
    <row r="363" spans="1:6" s="87" customFormat="1" ht="16.5" x14ac:dyDescent="0.3">
      <c r="A363" s="106" t="s">
        <v>1506</v>
      </c>
      <c r="B363" s="107" t="s">
        <v>1507</v>
      </c>
      <c r="C363" s="106" t="s">
        <v>879</v>
      </c>
      <c r="D363" s="106" t="s">
        <v>1508</v>
      </c>
      <c r="E363" s="108">
        <v>1999</v>
      </c>
      <c r="F363" s="109"/>
    </row>
    <row r="364" spans="1:6" s="87" customFormat="1" ht="16.5" x14ac:dyDescent="0.3">
      <c r="A364" s="106" t="s">
        <v>1509</v>
      </c>
      <c r="B364" s="107" t="s">
        <v>1510</v>
      </c>
      <c r="C364" s="108">
        <v>3</v>
      </c>
      <c r="D364" s="106" t="s">
        <v>1196</v>
      </c>
      <c r="E364" s="108">
        <v>1987</v>
      </c>
      <c r="F364" s="109"/>
    </row>
    <row r="365" spans="1:6" s="87" customFormat="1" ht="16.5" x14ac:dyDescent="0.3">
      <c r="A365" s="106" t="s">
        <v>1511</v>
      </c>
      <c r="B365" s="107" t="s">
        <v>1512</v>
      </c>
      <c r="C365" s="108">
        <v>3</v>
      </c>
      <c r="D365" s="108">
        <v>76</v>
      </c>
      <c r="E365" s="108">
        <v>2000</v>
      </c>
      <c r="F365" s="109"/>
    </row>
    <row r="366" spans="1:6" s="87" customFormat="1" ht="16.5" x14ac:dyDescent="0.3">
      <c r="A366" s="106" t="s">
        <v>1513</v>
      </c>
      <c r="B366" s="107" t="s">
        <v>1514</v>
      </c>
      <c r="C366" s="106" t="s">
        <v>906</v>
      </c>
      <c r="D366" s="106" t="s">
        <v>1515</v>
      </c>
      <c r="E366" s="108">
        <v>2014</v>
      </c>
      <c r="F366" s="109"/>
    </row>
    <row r="367" spans="1:6" s="87" customFormat="1" ht="16.5" x14ac:dyDescent="0.3">
      <c r="A367" s="106" t="s">
        <v>1516</v>
      </c>
      <c r="B367" s="107" t="s">
        <v>1517</v>
      </c>
      <c r="C367" s="106" t="s">
        <v>879</v>
      </c>
      <c r="D367" s="108">
        <v>123</v>
      </c>
      <c r="E367" s="106" t="s">
        <v>1083</v>
      </c>
      <c r="F367" s="109"/>
    </row>
    <row r="368" spans="1:6" s="87" customFormat="1" ht="16.5" x14ac:dyDescent="0.3">
      <c r="A368" s="106" t="s">
        <v>1518</v>
      </c>
      <c r="B368" s="107" t="s">
        <v>1519</v>
      </c>
      <c r="C368" s="108">
        <v>3</v>
      </c>
      <c r="D368" s="106" t="s">
        <v>1119</v>
      </c>
      <c r="E368" s="108">
        <v>1987</v>
      </c>
      <c r="F368" s="109"/>
    </row>
    <row r="369" spans="1:6" s="87" customFormat="1" ht="16.5" x14ac:dyDescent="0.3">
      <c r="A369" s="106" t="s">
        <v>1520</v>
      </c>
      <c r="B369" s="107" t="s">
        <v>1521</v>
      </c>
      <c r="C369" s="108">
        <v>3</v>
      </c>
      <c r="D369" s="106" t="s">
        <v>929</v>
      </c>
      <c r="E369" s="108">
        <v>1987</v>
      </c>
      <c r="F369" s="109"/>
    </row>
    <row r="370" spans="1:6" s="87" customFormat="1" ht="16.5" x14ac:dyDescent="0.3">
      <c r="A370" s="106" t="s">
        <v>1522</v>
      </c>
      <c r="B370" s="107" t="s">
        <v>1523</v>
      </c>
      <c r="C370" s="108">
        <v>3</v>
      </c>
      <c r="D370" s="108">
        <v>48</v>
      </c>
      <c r="E370" s="108">
        <v>1990</v>
      </c>
      <c r="F370" s="109"/>
    </row>
    <row r="371" spans="1:6" s="87" customFormat="1" ht="16.5" x14ac:dyDescent="0.3">
      <c r="A371" s="106" t="s">
        <v>1524</v>
      </c>
      <c r="B371" s="107" t="s">
        <v>1525</v>
      </c>
      <c r="C371" s="108">
        <v>3</v>
      </c>
      <c r="D371" s="106" t="s">
        <v>1526</v>
      </c>
      <c r="E371" s="108">
        <v>2010</v>
      </c>
      <c r="F371" s="109"/>
    </row>
    <row r="372" spans="1:6" s="87" customFormat="1" ht="16.5" x14ac:dyDescent="0.3">
      <c r="A372" s="106" t="s">
        <v>1527</v>
      </c>
      <c r="B372" s="107" t="s">
        <v>1528</v>
      </c>
      <c r="C372" s="106" t="s">
        <v>879</v>
      </c>
      <c r="D372" s="106" t="s">
        <v>1227</v>
      </c>
      <c r="E372" s="108">
        <v>1987</v>
      </c>
      <c r="F372" s="109"/>
    </row>
    <row r="373" spans="1:6" s="87" customFormat="1" ht="16.5" x14ac:dyDescent="0.3">
      <c r="A373" s="106" t="s">
        <v>1529</v>
      </c>
      <c r="B373" s="107" t="s">
        <v>1530</v>
      </c>
      <c r="C373" s="108">
        <v>3</v>
      </c>
      <c r="D373" s="106" t="s">
        <v>1280</v>
      </c>
      <c r="E373" s="108">
        <v>1987</v>
      </c>
      <c r="F373" s="109"/>
    </row>
    <row r="374" spans="1:6" s="87" customFormat="1" ht="16.5" x14ac:dyDescent="0.3">
      <c r="A374" s="106" t="s">
        <v>1531</v>
      </c>
      <c r="B374" s="107" t="s">
        <v>1532</v>
      </c>
      <c r="C374" s="108">
        <v>3</v>
      </c>
      <c r="D374" s="106" t="s">
        <v>1468</v>
      </c>
      <c r="E374" s="108">
        <v>1987</v>
      </c>
      <c r="F374" s="109"/>
    </row>
    <row r="375" spans="1:6" s="87" customFormat="1" ht="16.5" x14ac:dyDescent="0.3">
      <c r="A375" s="106" t="s">
        <v>1533</v>
      </c>
      <c r="B375" s="107" t="s">
        <v>1534</v>
      </c>
      <c r="C375" s="106" t="s">
        <v>879</v>
      </c>
      <c r="D375" s="108">
        <v>82</v>
      </c>
      <c r="E375" s="108">
        <v>2002</v>
      </c>
      <c r="F375" s="109"/>
    </row>
    <row r="376" spans="1:6" s="87" customFormat="1" ht="16.5" x14ac:dyDescent="0.3">
      <c r="A376" s="106" t="s">
        <v>1535</v>
      </c>
      <c r="B376" s="107" t="s">
        <v>1536</v>
      </c>
      <c r="C376" s="106" t="s">
        <v>879</v>
      </c>
      <c r="D376" s="108">
        <v>129</v>
      </c>
      <c r="E376" s="106" t="s">
        <v>1474</v>
      </c>
      <c r="F376" s="109"/>
    </row>
    <row r="377" spans="1:6" s="87" customFormat="1" ht="66" x14ac:dyDescent="0.3">
      <c r="A377" s="106" t="s">
        <v>1537</v>
      </c>
      <c r="B377" s="107" t="s">
        <v>1538</v>
      </c>
      <c r="C377" s="106" t="s">
        <v>906</v>
      </c>
      <c r="D377" s="106" t="s">
        <v>1361</v>
      </c>
      <c r="E377" s="108">
        <v>1987</v>
      </c>
      <c r="F377" s="109" t="s">
        <v>1291</v>
      </c>
    </row>
    <row r="378" spans="1:6" s="87" customFormat="1" ht="33" x14ac:dyDescent="0.3">
      <c r="A378" s="106" t="s">
        <v>1539</v>
      </c>
      <c r="B378" s="107" t="s">
        <v>1540</v>
      </c>
      <c r="C378" s="106"/>
      <c r="D378" s="106" t="s">
        <v>1541</v>
      </c>
      <c r="E378" s="108">
        <v>2012</v>
      </c>
      <c r="F378" s="109"/>
    </row>
    <row r="379" spans="1:6" s="87" customFormat="1" ht="16.5" x14ac:dyDescent="0.3">
      <c r="A379" s="106" t="s">
        <v>1542</v>
      </c>
      <c r="B379" s="107" t="s">
        <v>1543</v>
      </c>
      <c r="C379" s="108">
        <v>3</v>
      </c>
      <c r="D379" s="106" t="s">
        <v>1321</v>
      </c>
      <c r="E379" s="108">
        <v>1987</v>
      </c>
      <c r="F379" s="109"/>
    </row>
    <row r="380" spans="1:6" s="87" customFormat="1" ht="16.5" x14ac:dyDescent="0.3">
      <c r="A380" s="106" t="s">
        <v>1544</v>
      </c>
      <c r="B380" s="107" t="s">
        <v>1545</v>
      </c>
      <c r="C380" s="106" t="s">
        <v>879</v>
      </c>
      <c r="D380" s="106" t="s">
        <v>1546</v>
      </c>
      <c r="E380" s="106" t="s">
        <v>1094</v>
      </c>
      <c r="F380" s="109"/>
    </row>
    <row r="381" spans="1:6" s="87" customFormat="1" ht="16.5" x14ac:dyDescent="0.3">
      <c r="A381" s="106" t="s">
        <v>1547</v>
      </c>
      <c r="B381" s="107" t="s">
        <v>1548</v>
      </c>
      <c r="C381" s="108">
        <v>3</v>
      </c>
      <c r="D381" s="106" t="s">
        <v>1546</v>
      </c>
      <c r="E381" s="106" t="s">
        <v>1094</v>
      </c>
      <c r="F381" s="109"/>
    </row>
    <row r="382" spans="1:6" s="87" customFormat="1" ht="16.5" x14ac:dyDescent="0.3">
      <c r="A382" s="106" t="s">
        <v>1549</v>
      </c>
      <c r="B382" s="107" t="s">
        <v>1550</v>
      </c>
      <c r="C382" s="108">
        <v>3</v>
      </c>
      <c r="D382" s="106" t="s">
        <v>1432</v>
      </c>
      <c r="E382" s="108">
        <v>1987</v>
      </c>
      <c r="F382" s="109"/>
    </row>
    <row r="383" spans="1:6" s="87" customFormat="1" ht="16.5" x14ac:dyDescent="0.3">
      <c r="A383" s="106" t="s">
        <v>1551</v>
      </c>
      <c r="B383" s="107" t="s">
        <v>1552</v>
      </c>
      <c r="C383" s="106"/>
      <c r="D383" s="106"/>
      <c r="E383" s="106"/>
      <c r="F383" s="109"/>
    </row>
    <row r="384" spans="1:6" s="87" customFormat="1" ht="16.5" x14ac:dyDescent="0.3">
      <c r="A384" s="106" t="s">
        <v>1553</v>
      </c>
      <c r="B384" s="107" t="s">
        <v>1554</v>
      </c>
      <c r="C384" s="108">
        <v>3</v>
      </c>
      <c r="D384" s="106" t="s">
        <v>1239</v>
      </c>
      <c r="E384" s="108">
        <v>1987</v>
      </c>
      <c r="F384" s="109"/>
    </row>
    <row r="385" spans="1:6" s="87" customFormat="1" ht="16.5" x14ac:dyDescent="0.3">
      <c r="A385" s="106" t="s">
        <v>1555</v>
      </c>
      <c r="B385" s="107" t="s">
        <v>1556</v>
      </c>
      <c r="C385" s="106" t="s">
        <v>879</v>
      </c>
      <c r="D385" s="108">
        <v>118</v>
      </c>
      <c r="E385" s="106" t="s">
        <v>950</v>
      </c>
      <c r="F385" s="109"/>
    </row>
    <row r="386" spans="1:6" s="87" customFormat="1" ht="16.5" x14ac:dyDescent="0.3">
      <c r="A386" s="106" t="s">
        <v>1557</v>
      </c>
      <c r="B386" s="107" t="s">
        <v>1558</v>
      </c>
      <c r="C386" s="106" t="s">
        <v>879</v>
      </c>
      <c r="D386" s="108">
        <v>86</v>
      </c>
      <c r="E386" s="108">
        <v>2006</v>
      </c>
      <c r="F386" s="109"/>
    </row>
    <row r="387" spans="1:6" s="87" customFormat="1" ht="16.5" x14ac:dyDescent="0.3">
      <c r="A387" s="106" t="s">
        <v>1559</v>
      </c>
      <c r="B387" s="107" t="s">
        <v>1560</v>
      </c>
      <c r="C387" s="108">
        <v>3</v>
      </c>
      <c r="D387" s="106" t="s">
        <v>1546</v>
      </c>
      <c r="E387" s="106" t="s">
        <v>1094</v>
      </c>
      <c r="F387" s="109"/>
    </row>
    <row r="388" spans="1:6" s="87" customFormat="1" ht="16.5" x14ac:dyDescent="0.3">
      <c r="A388" s="106" t="s">
        <v>1561</v>
      </c>
      <c r="B388" s="107" t="s">
        <v>1562</v>
      </c>
      <c r="C388" s="108">
        <v>3</v>
      </c>
      <c r="D388" s="106" t="s">
        <v>1432</v>
      </c>
      <c r="E388" s="108">
        <v>1987</v>
      </c>
      <c r="F388" s="109"/>
    </row>
    <row r="389" spans="1:6" s="87" customFormat="1" ht="49.5" x14ac:dyDescent="0.3">
      <c r="A389" s="106" t="s">
        <v>1563</v>
      </c>
      <c r="B389" s="107" t="s">
        <v>1564</v>
      </c>
      <c r="C389" s="108">
        <v>3</v>
      </c>
      <c r="D389" s="108">
        <v>68</v>
      </c>
      <c r="E389" s="108">
        <v>1997</v>
      </c>
      <c r="F389" s="109"/>
    </row>
    <row r="390" spans="1:6" s="87" customFormat="1" ht="16.5" x14ac:dyDescent="0.3">
      <c r="A390" s="106" t="s">
        <v>1565</v>
      </c>
      <c r="B390" s="107" t="s">
        <v>1566</v>
      </c>
      <c r="C390" s="106" t="s">
        <v>879</v>
      </c>
      <c r="D390" s="106" t="s">
        <v>1275</v>
      </c>
      <c r="E390" s="108">
        <v>1999</v>
      </c>
      <c r="F390" s="109"/>
    </row>
    <row r="391" spans="1:6" s="87" customFormat="1" ht="16.5" x14ac:dyDescent="0.3">
      <c r="A391" s="106" t="s">
        <v>1567</v>
      </c>
      <c r="B391" s="107" t="s">
        <v>1568</v>
      </c>
      <c r="C391" s="108">
        <v>3</v>
      </c>
      <c r="D391" s="108">
        <v>103</v>
      </c>
      <c r="E391" s="108">
        <v>2013</v>
      </c>
      <c r="F391" s="109"/>
    </row>
    <row r="392" spans="1:6" s="87" customFormat="1" ht="16.5" x14ac:dyDescent="0.3">
      <c r="A392" s="106" t="s">
        <v>1569</v>
      </c>
      <c r="B392" s="107" t="s">
        <v>1570</v>
      </c>
      <c r="C392" s="108">
        <v>1</v>
      </c>
      <c r="D392" s="106" t="s">
        <v>1125</v>
      </c>
      <c r="E392" s="108">
        <v>2012</v>
      </c>
      <c r="F392" s="109"/>
    </row>
    <row r="393" spans="1:6" s="87" customFormat="1" ht="16.5" x14ac:dyDescent="0.3">
      <c r="A393" s="106" t="s">
        <v>1571</v>
      </c>
      <c r="B393" s="107" t="s">
        <v>1572</v>
      </c>
      <c r="C393" s="106" t="s">
        <v>879</v>
      </c>
      <c r="D393" s="106" t="s">
        <v>1188</v>
      </c>
      <c r="E393" s="108">
        <v>1987</v>
      </c>
      <c r="F393" s="109"/>
    </row>
    <row r="394" spans="1:6" s="87" customFormat="1" ht="16.5" x14ac:dyDescent="0.3">
      <c r="A394" s="106" t="s">
        <v>1573</v>
      </c>
      <c r="B394" s="107" t="s">
        <v>1574</v>
      </c>
      <c r="C394" s="108">
        <v>3</v>
      </c>
      <c r="D394" s="106" t="s">
        <v>1119</v>
      </c>
      <c r="E394" s="108">
        <v>1987</v>
      </c>
      <c r="F394" s="109"/>
    </row>
    <row r="395" spans="1:6" s="87" customFormat="1" ht="16.5" x14ac:dyDescent="0.3">
      <c r="A395" s="106" t="s">
        <v>1575</v>
      </c>
      <c r="B395" s="107" t="s">
        <v>1576</v>
      </c>
      <c r="C395" s="108">
        <v>3</v>
      </c>
      <c r="D395" s="106" t="s">
        <v>1390</v>
      </c>
      <c r="E395" s="108">
        <v>1987</v>
      </c>
      <c r="F395" s="109"/>
    </row>
    <row r="396" spans="1:6" s="87" customFormat="1" ht="16.5" x14ac:dyDescent="0.3">
      <c r="A396" s="106" t="s">
        <v>565</v>
      </c>
      <c r="B396" s="107" t="s">
        <v>1577</v>
      </c>
      <c r="C396" s="108">
        <v>3</v>
      </c>
      <c r="D396" s="106" t="s">
        <v>1287</v>
      </c>
      <c r="E396" s="108">
        <v>1999</v>
      </c>
      <c r="F396" s="109"/>
    </row>
    <row r="397" spans="1:6" s="87" customFormat="1" ht="165" x14ac:dyDescent="0.3">
      <c r="A397" s="106" t="s">
        <v>1578</v>
      </c>
      <c r="B397" s="107" t="s">
        <v>1579</v>
      </c>
      <c r="C397" s="108">
        <v>1</v>
      </c>
      <c r="D397" s="106" t="s">
        <v>1580</v>
      </c>
      <c r="E397" s="108">
        <v>2012</v>
      </c>
      <c r="F397" s="109" t="s">
        <v>1581</v>
      </c>
    </row>
    <row r="398" spans="1:6" s="87" customFormat="1" ht="16.5" x14ac:dyDescent="0.3">
      <c r="A398" s="106" t="s">
        <v>1582</v>
      </c>
      <c r="B398" s="107" t="s">
        <v>1583</v>
      </c>
      <c r="C398" s="106" t="s">
        <v>879</v>
      </c>
      <c r="D398" s="106" t="s">
        <v>1584</v>
      </c>
      <c r="E398" s="108">
        <v>2010</v>
      </c>
      <c r="F398" s="109"/>
    </row>
    <row r="399" spans="1:6" s="87" customFormat="1" ht="16.5" x14ac:dyDescent="0.3">
      <c r="A399" s="106" t="s">
        <v>1585</v>
      </c>
      <c r="B399" s="107" t="s">
        <v>1586</v>
      </c>
      <c r="C399" s="108">
        <v>1</v>
      </c>
      <c r="D399" s="106" t="s">
        <v>1587</v>
      </c>
      <c r="E399" s="108">
        <v>2016</v>
      </c>
      <c r="F399" s="109"/>
    </row>
    <row r="400" spans="1:6" s="87" customFormat="1" ht="16.5" x14ac:dyDescent="0.3">
      <c r="A400" s="106" t="s">
        <v>1588</v>
      </c>
      <c r="B400" s="107" t="s">
        <v>1589</v>
      </c>
      <c r="C400" s="108">
        <v>3</v>
      </c>
      <c r="D400" s="106" t="s">
        <v>1590</v>
      </c>
      <c r="E400" s="108">
        <v>1987</v>
      </c>
      <c r="F400" s="109"/>
    </row>
    <row r="401" spans="1:6" s="87" customFormat="1" ht="16.5" x14ac:dyDescent="0.3">
      <c r="A401" s="106" t="s">
        <v>1591</v>
      </c>
      <c r="B401" s="107" t="s">
        <v>1592</v>
      </c>
      <c r="C401" s="106" t="s">
        <v>906</v>
      </c>
      <c r="D401" s="108">
        <v>127</v>
      </c>
      <c r="E401" s="106" t="s">
        <v>911</v>
      </c>
      <c r="F401" s="109"/>
    </row>
    <row r="402" spans="1:6" s="87" customFormat="1" ht="16.5" x14ac:dyDescent="0.3">
      <c r="A402" s="106" t="s">
        <v>1593</v>
      </c>
      <c r="B402" s="107" t="s">
        <v>1594</v>
      </c>
      <c r="C402" s="108">
        <v>3</v>
      </c>
      <c r="D402" s="106" t="s">
        <v>1429</v>
      </c>
      <c r="E402" s="108">
        <v>1987</v>
      </c>
      <c r="F402" s="109"/>
    </row>
    <row r="403" spans="1:6" s="87" customFormat="1" ht="16.5" x14ac:dyDescent="0.3">
      <c r="A403" s="106" t="s">
        <v>1595</v>
      </c>
      <c r="B403" s="107" t="s">
        <v>1596</v>
      </c>
      <c r="C403" s="106"/>
      <c r="D403" s="106"/>
      <c r="E403" s="106"/>
      <c r="F403" s="109"/>
    </row>
    <row r="404" spans="1:6" s="87" customFormat="1" ht="16.5" x14ac:dyDescent="0.3">
      <c r="A404" s="106" t="s">
        <v>1597</v>
      </c>
      <c r="B404" s="107" t="s">
        <v>1598</v>
      </c>
      <c r="C404" s="106" t="s">
        <v>879</v>
      </c>
      <c r="D404" s="106" t="s">
        <v>1599</v>
      </c>
      <c r="E404" s="108">
        <v>2010</v>
      </c>
      <c r="F404" s="109"/>
    </row>
    <row r="405" spans="1:6" s="87" customFormat="1" ht="16.5" x14ac:dyDescent="0.3">
      <c r="A405" s="106" t="s">
        <v>1600</v>
      </c>
      <c r="B405" s="107" t="s">
        <v>1601</v>
      </c>
      <c r="C405" s="108">
        <v>3</v>
      </c>
      <c r="D405" s="106" t="s">
        <v>1602</v>
      </c>
      <c r="E405" s="108">
        <v>1999</v>
      </c>
      <c r="F405" s="109"/>
    </row>
    <row r="406" spans="1:6" s="87" customFormat="1" ht="16.5" x14ac:dyDescent="0.3">
      <c r="A406" s="106" t="s">
        <v>1603</v>
      </c>
      <c r="B406" s="107" t="s">
        <v>1604</v>
      </c>
      <c r="C406" s="106" t="s">
        <v>879</v>
      </c>
      <c r="D406" s="108">
        <v>127</v>
      </c>
      <c r="E406" s="106" t="s">
        <v>911</v>
      </c>
      <c r="F406" s="109"/>
    </row>
    <row r="407" spans="1:6" s="87" customFormat="1" ht="16.5" x14ac:dyDescent="0.3">
      <c r="A407" s="106" t="s">
        <v>1605</v>
      </c>
      <c r="B407" s="107" t="s">
        <v>1606</v>
      </c>
      <c r="C407" s="108">
        <v>3</v>
      </c>
      <c r="D407" s="106" t="s">
        <v>1280</v>
      </c>
      <c r="E407" s="108">
        <v>1987</v>
      </c>
      <c r="F407" s="109"/>
    </row>
    <row r="408" spans="1:6" s="87" customFormat="1" ht="16.5" x14ac:dyDescent="0.3">
      <c r="A408" s="106" t="s">
        <v>1607</v>
      </c>
      <c r="B408" s="107" t="s">
        <v>1608</v>
      </c>
      <c r="C408" s="106" t="s">
        <v>879</v>
      </c>
      <c r="D408" s="106" t="s">
        <v>1119</v>
      </c>
      <c r="E408" s="108">
        <v>1987</v>
      </c>
      <c r="F408" s="109"/>
    </row>
    <row r="409" spans="1:6" s="87" customFormat="1" ht="16.5" x14ac:dyDescent="0.3">
      <c r="A409" s="106" t="s">
        <v>1609</v>
      </c>
      <c r="B409" s="107" t="s">
        <v>1610</v>
      </c>
      <c r="C409" s="108">
        <v>3</v>
      </c>
      <c r="D409" s="106" t="s">
        <v>1227</v>
      </c>
      <c r="E409" s="108">
        <v>1987</v>
      </c>
      <c r="F409" s="109"/>
    </row>
    <row r="410" spans="1:6" s="87" customFormat="1" ht="16.5" x14ac:dyDescent="0.3">
      <c r="A410" s="106" t="s">
        <v>1611</v>
      </c>
      <c r="B410" s="107" t="s">
        <v>1612</v>
      </c>
      <c r="C410" s="108">
        <v>3</v>
      </c>
      <c r="D410" s="106" t="s">
        <v>1613</v>
      </c>
      <c r="E410" s="108">
        <v>1991</v>
      </c>
      <c r="F410" s="109"/>
    </row>
    <row r="411" spans="1:6" s="87" customFormat="1" ht="16.5" x14ac:dyDescent="0.3">
      <c r="A411" s="106" t="s">
        <v>1614</v>
      </c>
      <c r="B411" s="107" t="s">
        <v>1615</v>
      </c>
      <c r="C411" s="108">
        <v>3</v>
      </c>
      <c r="D411" s="106" t="s">
        <v>1613</v>
      </c>
      <c r="E411" s="108">
        <v>1991</v>
      </c>
      <c r="F411" s="109"/>
    </row>
    <row r="412" spans="1:6" s="87" customFormat="1" ht="16.5" x14ac:dyDescent="0.3">
      <c r="A412" s="106" t="s">
        <v>1616</v>
      </c>
      <c r="B412" s="107" t="s">
        <v>1617</v>
      </c>
      <c r="C412" s="108">
        <v>3</v>
      </c>
      <c r="D412" s="106" t="s">
        <v>929</v>
      </c>
      <c r="E412" s="108">
        <v>1987</v>
      </c>
      <c r="F412" s="109"/>
    </row>
    <row r="413" spans="1:6" s="87" customFormat="1" ht="16.5" x14ac:dyDescent="0.3">
      <c r="A413" s="106" t="s">
        <v>1618</v>
      </c>
      <c r="B413" s="107" t="s">
        <v>1619</v>
      </c>
      <c r="C413" s="108">
        <v>3</v>
      </c>
      <c r="D413" s="106" t="s">
        <v>1275</v>
      </c>
      <c r="E413" s="108">
        <v>1999</v>
      </c>
      <c r="F413" s="109"/>
    </row>
    <row r="414" spans="1:6" s="87" customFormat="1" ht="16.5" x14ac:dyDescent="0.3">
      <c r="A414" s="106" t="s">
        <v>1620</v>
      </c>
      <c r="B414" s="107" t="s">
        <v>1621</v>
      </c>
      <c r="C414" s="106" t="s">
        <v>879</v>
      </c>
      <c r="D414" s="106" t="s">
        <v>1622</v>
      </c>
      <c r="E414" s="108">
        <v>1999</v>
      </c>
      <c r="F414" s="109" t="s">
        <v>1069</v>
      </c>
    </row>
    <row r="415" spans="1:6" s="87" customFormat="1" ht="16.5" x14ac:dyDescent="0.3">
      <c r="A415" s="106" t="s">
        <v>1623</v>
      </c>
      <c r="B415" s="107" t="s">
        <v>1624</v>
      </c>
      <c r="C415" s="106" t="s">
        <v>879</v>
      </c>
      <c r="D415" s="106" t="s">
        <v>1227</v>
      </c>
      <c r="E415" s="108">
        <v>1987</v>
      </c>
      <c r="F415" s="109"/>
    </row>
    <row r="416" spans="1:6" s="87" customFormat="1" ht="16.5" x14ac:dyDescent="0.3">
      <c r="A416" s="106" t="s">
        <v>1625</v>
      </c>
      <c r="B416" s="107" t="s">
        <v>1626</v>
      </c>
      <c r="C416" s="108">
        <v>3</v>
      </c>
      <c r="D416" s="106" t="s">
        <v>1450</v>
      </c>
      <c r="E416" s="108">
        <v>1987</v>
      </c>
      <c r="F416" s="109"/>
    </row>
    <row r="417" spans="1:6" s="87" customFormat="1" ht="33" x14ac:dyDescent="0.3">
      <c r="A417" s="106" t="s">
        <v>1627</v>
      </c>
      <c r="B417" s="107" t="s">
        <v>1628</v>
      </c>
      <c r="C417" s="106"/>
      <c r="D417" s="106"/>
      <c r="E417" s="106"/>
      <c r="F417" s="109"/>
    </row>
    <row r="418" spans="1:6" s="87" customFormat="1" ht="33" x14ac:dyDescent="0.3">
      <c r="A418" s="106" t="s">
        <v>1627</v>
      </c>
      <c r="B418" s="107" t="s">
        <v>1629</v>
      </c>
      <c r="C418" s="108">
        <v>1</v>
      </c>
      <c r="D418" s="106" t="s">
        <v>1056</v>
      </c>
      <c r="E418" s="108">
        <v>2012</v>
      </c>
      <c r="F418" s="109"/>
    </row>
    <row r="419" spans="1:6" s="87" customFormat="1" ht="16.5" x14ac:dyDescent="0.3">
      <c r="A419" s="106" t="s">
        <v>1630</v>
      </c>
      <c r="B419" s="107" t="s">
        <v>1631</v>
      </c>
      <c r="C419" s="108">
        <v>1</v>
      </c>
      <c r="D419" s="106" t="s">
        <v>1125</v>
      </c>
      <c r="E419" s="108">
        <v>2012</v>
      </c>
      <c r="F419" s="109"/>
    </row>
    <row r="420" spans="1:6" s="87" customFormat="1" ht="16.5" x14ac:dyDescent="0.3">
      <c r="A420" s="106" t="s">
        <v>1632</v>
      </c>
      <c r="B420" s="107" t="s">
        <v>1633</v>
      </c>
      <c r="C420" s="108">
        <v>3</v>
      </c>
      <c r="D420" s="106" t="s">
        <v>1634</v>
      </c>
      <c r="E420" s="108">
        <v>1997</v>
      </c>
      <c r="F420" s="109"/>
    </row>
    <row r="421" spans="1:6" s="87" customFormat="1" ht="16.5" x14ac:dyDescent="0.3">
      <c r="A421" s="106" t="s">
        <v>1635</v>
      </c>
      <c r="B421" s="107" t="s">
        <v>1636</v>
      </c>
      <c r="C421" s="108">
        <v>3</v>
      </c>
      <c r="D421" s="106" t="s">
        <v>1637</v>
      </c>
      <c r="E421" s="108">
        <v>1999</v>
      </c>
      <c r="F421" s="109"/>
    </row>
    <row r="422" spans="1:6" s="87" customFormat="1" ht="16.5" x14ac:dyDescent="0.3">
      <c r="A422" s="106" t="s">
        <v>1638</v>
      </c>
      <c r="B422" s="107" t="s">
        <v>1639</v>
      </c>
      <c r="C422" s="108">
        <v>3</v>
      </c>
      <c r="D422" s="106" t="s">
        <v>1239</v>
      </c>
      <c r="E422" s="108">
        <v>1987</v>
      </c>
      <c r="F422" s="109"/>
    </row>
    <row r="423" spans="1:6" s="87" customFormat="1" ht="16.5" x14ac:dyDescent="0.3">
      <c r="A423" s="106" t="s">
        <v>1640</v>
      </c>
      <c r="B423" s="107" t="s">
        <v>1641</v>
      </c>
      <c r="C423" s="106" t="s">
        <v>879</v>
      </c>
      <c r="D423" s="106" t="s">
        <v>1642</v>
      </c>
      <c r="E423" s="108">
        <v>1987</v>
      </c>
      <c r="F423" s="109"/>
    </row>
    <row r="424" spans="1:6" s="87" customFormat="1" ht="16.5" x14ac:dyDescent="0.3">
      <c r="A424" s="106" t="s">
        <v>1643</v>
      </c>
      <c r="B424" s="107" t="s">
        <v>1644</v>
      </c>
      <c r="C424" s="106" t="s">
        <v>879</v>
      </c>
      <c r="D424" s="106" t="s">
        <v>1645</v>
      </c>
      <c r="E424" s="108">
        <v>2019</v>
      </c>
      <c r="F424" s="109"/>
    </row>
    <row r="425" spans="1:6" s="87" customFormat="1" ht="16.5" x14ac:dyDescent="0.3">
      <c r="A425" s="106" t="s">
        <v>1646</v>
      </c>
      <c r="B425" s="107" t="s">
        <v>1647</v>
      </c>
      <c r="C425" s="108">
        <v>3</v>
      </c>
      <c r="D425" s="106" t="s">
        <v>1196</v>
      </c>
      <c r="E425" s="108">
        <v>1987</v>
      </c>
      <c r="F425" s="109"/>
    </row>
    <row r="426" spans="1:6" s="87" customFormat="1" ht="16.5" x14ac:dyDescent="0.3">
      <c r="A426" s="106" t="s">
        <v>1648</v>
      </c>
      <c r="B426" s="107" t="s">
        <v>1649</v>
      </c>
      <c r="C426" s="108">
        <v>1</v>
      </c>
      <c r="D426" s="106" t="s">
        <v>1650</v>
      </c>
      <c r="E426" s="108">
        <v>2012</v>
      </c>
      <c r="F426" s="109"/>
    </row>
    <row r="427" spans="1:6" s="87" customFormat="1" ht="33" x14ac:dyDescent="0.3">
      <c r="A427" s="106" t="s">
        <v>1651</v>
      </c>
      <c r="B427" s="107" t="s">
        <v>1652</v>
      </c>
      <c r="C427" s="106" t="s">
        <v>906</v>
      </c>
      <c r="D427" s="108">
        <v>117</v>
      </c>
      <c r="E427" s="108">
        <v>2019</v>
      </c>
      <c r="F427" s="109" t="s">
        <v>1653</v>
      </c>
    </row>
    <row r="428" spans="1:6" s="87" customFormat="1" ht="16.5" x14ac:dyDescent="0.3">
      <c r="A428" s="106" t="s">
        <v>1654</v>
      </c>
      <c r="B428" s="107" t="s">
        <v>1655</v>
      </c>
      <c r="C428" s="108">
        <v>3</v>
      </c>
      <c r="D428" s="106" t="s">
        <v>1256</v>
      </c>
      <c r="E428" s="108">
        <v>1999</v>
      </c>
      <c r="F428" s="109"/>
    </row>
    <row r="429" spans="1:6" s="87" customFormat="1" ht="33" x14ac:dyDescent="0.3">
      <c r="A429" s="106" t="s">
        <v>1656</v>
      </c>
      <c r="B429" s="107" t="s">
        <v>1657</v>
      </c>
      <c r="C429" s="108">
        <v>3</v>
      </c>
      <c r="D429" s="106" t="s">
        <v>1290</v>
      </c>
      <c r="E429" s="108">
        <v>1999</v>
      </c>
      <c r="F429" s="109"/>
    </row>
    <row r="430" spans="1:6" s="87" customFormat="1" ht="16.5" x14ac:dyDescent="0.3">
      <c r="A430" s="106" t="s">
        <v>1658</v>
      </c>
      <c r="B430" s="107" t="s">
        <v>1659</v>
      </c>
      <c r="C430" s="106" t="s">
        <v>879</v>
      </c>
      <c r="D430" s="106" t="s">
        <v>1416</v>
      </c>
      <c r="E430" s="108">
        <v>2001</v>
      </c>
      <c r="F430" s="109"/>
    </row>
    <row r="431" spans="1:6" s="87" customFormat="1" ht="16.5" x14ac:dyDescent="0.3">
      <c r="A431" s="106" t="s">
        <v>1660</v>
      </c>
      <c r="B431" s="107" t="s">
        <v>1661</v>
      </c>
      <c r="C431" s="106" t="s">
        <v>906</v>
      </c>
      <c r="D431" s="108">
        <v>127</v>
      </c>
      <c r="E431" s="106" t="s">
        <v>911</v>
      </c>
      <c r="F431" s="109"/>
    </row>
    <row r="432" spans="1:6" s="87" customFormat="1" ht="16.5" x14ac:dyDescent="0.3">
      <c r="A432" s="106" t="s">
        <v>1662</v>
      </c>
      <c r="B432" s="107" t="s">
        <v>1663</v>
      </c>
      <c r="C432" s="106" t="s">
        <v>879</v>
      </c>
      <c r="D432" s="108">
        <v>101</v>
      </c>
      <c r="E432" s="108">
        <v>2013</v>
      </c>
      <c r="F432" s="109"/>
    </row>
    <row r="433" spans="1:6" s="87" customFormat="1" ht="16.5" x14ac:dyDescent="0.3">
      <c r="A433" s="106" t="s">
        <v>1664</v>
      </c>
      <c r="B433" s="107" t="s">
        <v>1665</v>
      </c>
      <c r="C433" s="106" t="s">
        <v>879</v>
      </c>
      <c r="D433" s="106" t="s">
        <v>1003</v>
      </c>
      <c r="E433" s="108">
        <v>1987</v>
      </c>
      <c r="F433" s="109"/>
    </row>
    <row r="434" spans="1:6" s="87" customFormat="1" ht="16.5" x14ac:dyDescent="0.3">
      <c r="A434" s="106" t="s">
        <v>1666</v>
      </c>
      <c r="B434" s="107" t="s">
        <v>1667</v>
      </c>
      <c r="C434" s="108">
        <v>3</v>
      </c>
      <c r="D434" s="106" t="s">
        <v>1361</v>
      </c>
      <c r="E434" s="108">
        <v>1987</v>
      </c>
      <c r="F434" s="109"/>
    </row>
    <row r="435" spans="1:6" s="87" customFormat="1" ht="16.5" x14ac:dyDescent="0.3">
      <c r="A435" s="106" t="s">
        <v>1668</v>
      </c>
      <c r="B435" s="107" t="s">
        <v>1669</v>
      </c>
      <c r="C435" s="108">
        <v>3</v>
      </c>
      <c r="D435" s="106" t="s">
        <v>1205</v>
      </c>
      <c r="E435" s="108">
        <v>1987</v>
      </c>
      <c r="F435" s="109"/>
    </row>
    <row r="436" spans="1:6" s="87" customFormat="1" ht="16.5" x14ac:dyDescent="0.3">
      <c r="A436" s="106" t="s">
        <v>1670</v>
      </c>
      <c r="B436" s="107" t="s">
        <v>1671</v>
      </c>
      <c r="C436" s="108">
        <v>3</v>
      </c>
      <c r="D436" s="106" t="s">
        <v>1205</v>
      </c>
      <c r="E436" s="108">
        <v>1987</v>
      </c>
      <c r="F436" s="109"/>
    </row>
    <row r="437" spans="1:6" s="87" customFormat="1" ht="16.5" x14ac:dyDescent="0.3">
      <c r="A437" s="106" t="s">
        <v>1672</v>
      </c>
      <c r="B437" s="107" t="s">
        <v>1673</v>
      </c>
      <c r="C437" s="108">
        <v>1</v>
      </c>
      <c r="D437" s="106" t="s">
        <v>1125</v>
      </c>
      <c r="E437" s="108">
        <v>2012</v>
      </c>
      <c r="F437" s="109"/>
    </row>
    <row r="438" spans="1:6" s="87" customFormat="1" ht="33" x14ac:dyDescent="0.3">
      <c r="A438" s="106" t="s">
        <v>1674</v>
      </c>
      <c r="B438" s="107" t="s">
        <v>1675</v>
      </c>
      <c r="C438" s="106"/>
      <c r="D438" s="106" t="s">
        <v>904</v>
      </c>
      <c r="E438" s="108">
        <v>1987</v>
      </c>
      <c r="F438" s="109"/>
    </row>
    <row r="439" spans="1:6" s="87" customFormat="1" ht="16.5" x14ac:dyDescent="0.3">
      <c r="A439" s="106" t="s">
        <v>1676</v>
      </c>
      <c r="B439" s="107" t="s">
        <v>1677</v>
      </c>
      <c r="C439" s="108">
        <v>3</v>
      </c>
      <c r="D439" s="106" t="s">
        <v>1205</v>
      </c>
      <c r="E439" s="108">
        <v>1987</v>
      </c>
      <c r="F439" s="109"/>
    </row>
    <row r="440" spans="1:6" s="87" customFormat="1" ht="16.5" x14ac:dyDescent="0.3">
      <c r="A440" s="106" t="s">
        <v>1678</v>
      </c>
      <c r="B440" s="107" t="s">
        <v>1679</v>
      </c>
      <c r="C440" s="108">
        <v>3</v>
      </c>
      <c r="D440" s="106" t="s">
        <v>1468</v>
      </c>
      <c r="E440" s="108">
        <v>1987</v>
      </c>
      <c r="F440" s="109"/>
    </row>
    <row r="441" spans="1:6" s="87" customFormat="1" ht="16.5" x14ac:dyDescent="0.3">
      <c r="A441" s="106" t="s">
        <v>1680</v>
      </c>
      <c r="B441" s="107" t="s">
        <v>1681</v>
      </c>
      <c r="C441" s="108">
        <v>1</v>
      </c>
      <c r="D441" s="106" t="s">
        <v>1682</v>
      </c>
      <c r="E441" s="108">
        <v>2012</v>
      </c>
      <c r="F441" s="109"/>
    </row>
    <row r="442" spans="1:6" s="87" customFormat="1" ht="16.5" x14ac:dyDescent="0.3">
      <c r="A442" s="106" t="s">
        <v>1683</v>
      </c>
      <c r="B442" s="107" t="s">
        <v>1684</v>
      </c>
      <c r="C442" s="106"/>
      <c r="D442" s="106" t="s">
        <v>1685</v>
      </c>
      <c r="E442" s="108">
        <v>1987</v>
      </c>
      <c r="F442" s="109"/>
    </row>
    <row r="443" spans="1:6" s="87" customFormat="1" ht="16.5" x14ac:dyDescent="0.3">
      <c r="A443" s="106" t="s">
        <v>1683</v>
      </c>
      <c r="B443" s="107" t="s">
        <v>1686</v>
      </c>
      <c r="C443" s="108">
        <v>3</v>
      </c>
      <c r="D443" s="106" t="s">
        <v>1687</v>
      </c>
      <c r="E443" s="108">
        <v>2010</v>
      </c>
      <c r="F443" s="109"/>
    </row>
    <row r="444" spans="1:6" s="87" customFormat="1" ht="16.5" x14ac:dyDescent="0.3">
      <c r="A444" s="106" t="s">
        <v>1683</v>
      </c>
      <c r="B444" s="107" t="s">
        <v>1688</v>
      </c>
      <c r="C444" s="106" t="s">
        <v>879</v>
      </c>
      <c r="D444" s="108">
        <v>93</v>
      </c>
      <c r="E444" s="108">
        <v>2010</v>
      </c>
      <c r="F444" s="109"/>
    </row>
    <row r="445" spans="1:6" s="87" customFormat="1" ht="16.5" x14ac:dyDescent="0.3">
      <c r="A445" s="106" t="s">
        <v>1689</v>
      </c>
      <c r="B445" s="107" t="s">
        <v>1690</v>
      </c>
      <c r="C445" s="108">
        <v>1</v>
      </c>
      <c r="D445" s="106" t="s">
        <v>1691</v>
      </c>
      <c r="E445" s="108">
        <v>2012</v>
      </c>
      <c r="F445" s="109"/>
    </row>
    <row r="446" spans="1:6" s="87" customFormat="1" ht="16.5" x14ac:dyDescent="0.3">
      <c r="A446" s="106" t="s">
        <v>1692</v>
      </c>
      <c r="B446" s="107" t="s">
        <v>1693</v>
      </c>
      <c r="C446" s="108">
        <v>3</v>
      </c>
      <c r="D446" s="106" t="s">
        <v>929</v>
      </c>
      <c r="E446" s="108">
        <v>1987</v>
      </c>
      <c r="F446" s="109"/>
    </row>
    <row r="447" spans="1:6" s="87" customFormat="1" ht="16.5" x14ac:dyDescent="0.3">
      <c r="A447" s="106" t="s">
        <v>1694</v>
      </c>
      <c r="B447" s="107" t="s">
        <v>1695</v>
      </c>
      <c r="C447" s="106" t="s">
        <v>906</v>
      </c>
      <c r="D447" s="108">
        <v>115</v>
      </c>
      <c r="E447" s="108">
        <v>2018</v>
      </c>
      <c r="F447" s="109"/>
    </row>
    <row r="448" spans="1:6" s="87" customFormat="1" ht="16.5" x14ac:dyDescent="0.3">
      <c r="A448" s="106" t="s">
        <v>1696</v>
      </c>
      <c r="B448" s="107" t="s">
        <v>1697</v>
      </c>
      <c r="C448" s="106" t="s">
        <v>879</v>
      </c>
      <c r="D448" s="106" t="s">
        <v>1196</v>
      </c>
      <c r="E448" s="108">
        <v>1987</v>
      </c>
      <c r="F448" s="109"/>
    </row>
    <row r="449" spans="1:6" s="87" customFormat="1" ht="16.5" x14ac:dyDescent="0.3">
      <c r="A449" s="106" t="s">
        <v>1698</v>
      </c>
      <c r="B449" s="107" t="s">
        <v>1699</v>
      </c>
      <c r="C449" s="108">
        <v>3</v>
      </c>
      <c r="D449" s="106" t="s">
        <v>1280</v>
      </c>
      <c r="E449" s="108">
        <v>1987</v>
      </c>
      <c r="F449" s="109"/>
    </row>
    <row r="450" spans="1:6" s="87" customFormat="1" ht="16.5" x14ac:dyDescent="0.3">
      <c r="A450" s="106" t="s">
        <v>1700</v>
      </c>
      <c r="B450" s="107" t="s">
        <v>1701</v>
      </c>
      <c r="C450" s="108">
        <v>3</v>
      </c>
      <c r="D450" s="106" t="s">
        <v>1613</v>
      </c>
      <c r="E450" s="108">
        <v>1991</v>
      </c>
      <c r="F450" s="109"/>
    </row>
    <row r="451" spans="1:6" s="87" customFormat="1" ht="16.5" x14ac:dyDescent="0.3">
      <c r="A451" s="106" t="s">
        <v>1702</v>
      </c>
      <c r="B451" s="107" t="s">
        <v>1703</v>
      </c>
      <c r="C451" s="108">
        <v>3</v>
      </c>
      <c r="D451" s="106" t="s">
        <v>1205</v>
      </c>
      <c r="E451" s="108">
        <v>1987</v>
      </c>
      <c r="F451" s="109"/>
    </row>
    <row r="452" spans="1:6" s="87" customFormat="1" ht="16.5" x14ac:dyDescent="0.3">
      <c r="A452" s="106" t="s">
        <v>1704</v>
      </c>
      <c r="B452" s="107" t="s">
        <v>1705</v>
      </c>
      <c r="C452" s="108">
        <v>3</v>
      </c>
      <c r="D452" s="106" t="s">
        <v>1246</v>
      </c>
      <c r="E452" s="108">
        <v>1987</v>
      </c>
      <c r="F452" s="109"/>
    </row>
    <row r="453" spans="1:6" s="87" customFormat="1" ht="66" x14ac:dyDescent="0.3">
      <c r="A453" s="106" t="s">
        <v>1706</v>
      </c>
      <c r="B453" s="107" t="s">
        <v>1707</v>
      </c>
      <c r="C453" s="106" t="s">
        <v>879</v>
      </c>
      <c r="D453" s="106" t="s">
        <v>1367</v>
      </c>
      <c r="E453" s="108">
        <v>1999</v>
      </c>
      <c r="F453" s="109" t="s">
        <v>957</v>
      </c>
    </row>
    <row r="454" spans="1:6" s="87" customFormat="1" ht="16.5" x14ac:dyDescent="0.3">
      <c r="A454" s="106" t="s">
        <v>1708</v>
      </c>
      <c r="B454" s="107" t="s">
        <v>1709</v>
      </c>
      <c r="C454" s="108">
        <v>1</v>
      </c>
      <c r="D454" s="106" t="s">
        <v>1125</v>
      </c>
      <c r="E454" s="108">
        <v>2012</v>
      </c>
      <c r="F454" s="109"/>
    </row>
    <row r="455" spans="1:6" s="87" customFormat="1" ht="16.5" x14ac:dyDescent="0.3">
      <c r="A455" s="106" t="s">
        <v>1710</v>
      </c>
      <c r="B455" s="107" t="s">
        <v>1711</v>
      </c>
      <c r="C455" s="106" t="s">
        <v>906</v>
      </c>
      <c r="D455" s="106" t="s">
        <v>1361</v>
      </c>
      <c r="E455" s="108">
        <v>1987</v>
      </c>
      <c r="F455" s="109"/>
    </row>
    <row r="456" spans="1:6" s="87" customFormat="1" ht="16.5" x14ac:dyDescent="0.3">
      <c r="A456" s="106" t="s">
        <v>1712</v>
      </c>
      <c r="B456" s="107" t="s">
        <v>1713</v>
      </c>
      <c r="C456" s="108">
        <v>3</v>
      </c>
      <c r="D456" s="106" t="s">
        <v>1634</v>
      </c>
      <c r="E456" s="108">
        <v>1997</v>
      </c>
      <c r="F456" s="109"/>
    </row>
    <row r="457" spans="1:6" s="87" customFormat="1" ht="16.5" x14ac:dyDescent="0.3">
      <c r="A457" s="106" t="s">
        <v>1714</v>
      </c>
      <c r="B457" s="107" t="s">
        <v>1715</v>
      </c>
      <c r="C457" s="108">
        <v>3</v>
      </c>
      <c r="D457" s="106" t="s">
        <v>1196</v>
      </c>
      <c r="E457" s="108">
        <v>1987</v>
      </c>
      <c r="F457" s="109"/>
    </row>
    <row r="458" spans="1:6" s="87" customFormat="1" ht="16.5" x14ac:dyDescent="0.3">
      <c r="A458" s="106" t="s">
        <v>1716</v>
      </c>
      <c r="B458" s="107" t="s">
        <v>1717</v>
      </c>
      <c r="C458" s="108">
        <v>3</v>
      </c>
      <c r="D458" s="106" t="s">
        <v>1227</v>
      </c>
      <c r="E458" s="108">
        <v>1987</v>
      </c>
      <c r="F458" s="109"/>
    </row>
    <row r="459" spans="1:6" s="87" customFormat="1" ht="16.5" x14ac:dyDescent="0.3">
      <c r="A459" s="106" t="s">
        <v>1718</v>
      </c>
      <c r="B459" s="107" t="s">
        <v>1719</v>
      </c>
      <c r="C459" s="108">
        <v>3</v>
      </c>
      <c r="D459" s="106" t="s">
        <v>1119</v>
      </c>
      <c r="E459" s="108">
        <v>1987</v>
      </c>
      <c r="F459" s="109"/>
    </row>
    <row r="460" spans="1:6" s="87" customFormat="1" ht="16.5" x14ac:dyDescent="0.3">
      <c r="A460" s="106" t="s">
        <v>1720</v>
      </c>
      <c r="B460" s="107" t="s">
        <v>1721</v>
      </c>
      <c r="C460" s="106" t="s">
        <v>879</v>
      </c>
      <c r="D460" s="108">
        <v>122</v>
      </c>
      <c r="E460" s="108">
        <v>2019</v>
      </c>
      <c r="F460" s="109"/>
    </row>
    <row r="461" spans="1:6" s="87" customFormat="1" ht="66" x14ac:dyDescent="0.3">
      <c r="A461" s="106" t="s">
        <v>1722</v>
      </c>
      <c r="B461" s="107" t="s">
        <v>1723</v>
      </c>
      <c r="C461" s="106" t="s">
        <v>906</v>
      </c>
      <c r="D461" s="106" t="s">
        <v>1361</v>
      </c>
      <c r="E461" s="108">
        <v>1987</v>
      </c>
      <c r="F461" s="109" t="s">
        <v>1291</v>
      </c>
    </row>
    <row r="462" spans="1:6" s="87" customFormat="1" ht="16.5" x14ac:dyDescent="0.3">
      <c r="A462" s="106" t="s">
        <v>1724</v>
      </c>
      <c r="B462" s="107" t="s">
        <v>1725</v>
      </c>
      <c r="C462" s="108">
        <v>3</v>
      </c>
      <c r="D462" s="106" t="s">
        <v>1227</v>
      </c>
      <c r="E462" s="108">
        <v>1987</v>
      </c>
      <c r="F462" s="109"/>
    </row>
    <row r="463" spans="1:6" s="87" customFormat="1" ht="16.5" x14ac:dyDescent="0.3">
      <c r="A463" s="106" t="s">
        <v>1726</v>
      </c>
      <c r="B463" s="107" t="s">
        <v>1727</v>
      </c>
      <c r="C463" s="108">
        <v>3</v>
      </c>
      <c r="D463" s="108">
        <v>53</v>
      </c>
      <c r="E463" s="108">
        <v>1991</v>
      </c>
      <c r="F463" s="109"/>
    </row>
    <row r="464" spans="1:6" s="87" customFormat="1" ht="16.5" x14ac:dyDescent="0.3">
      <c r="A464" s="106" t="s">
        <v>1728</v>
      </c>
      <c r="B464" s="107" t="s">
        <v>1729</v>
      </c>
      <c r="C464" s="108">
        <v>3</v>
      </c>
      <c r="D464" s="108">
        <v>49</v>
      </c>
      <c r="E464" s="108">
        <v>1990</v>
      </c>
      <c r="F464" s="109"/>
    </row>
    <row r="465" spans="1:6" s="87" customFormat="1" ht="16.5" x14ac:dyDescent="0.3">
      <c r="A465" s="106" t="s">
        <v>1730</v>
      </c>
      <c r="B465" s="107" t="s">
        <v>1731</v>
      </c>
      <c r="C465" s="106"/>
      <c r="D465" s="106"/>
      <c r="E465" s="106"/>
      <c r="F465" s="109"/>
    </row>
    <row r="466" spans="1:6" s="87" customFormat="1" ht="16.5" x14ac:dyDescent="0.3">
      <c r="A466" s="106" t="s">
        <v>1732</v>
      </c>
      <c r="B466" s="107" t="s">
        <v>1733</v>
      </c>
      <c r="C466" s="106" t="s">
        <v>879</v>
      </c>
      <c r="D466" s="106" t="s">
        <v>1734</v>
      </c>
      <c r="E466" s="108">
        <v>1999</v>
      </c>
      <c r="F466" s="109"/>
    </row>
    <row r="467" spans="1:6" s="87" customFormat="1" ht="16.5" x14ac:dyDescent="0.3">
      <c r="A467" s="106" t="s">
        <v>1735</v>
      </c>
      <c r="B467" s="107" t="s">
        <v>1736</v>
      </c>
      <c r="C467" s="108">
        <v>3</v>
      </c>
      <c r="D467" s="108">
        <v>73</v>
      </c>
      <c r="E467" s="108">
        <v>1999</v>
      </c>
      <c r="F467" s="109"/>
    </row>
    <row r="468" spans="1:6" s="87" customFormat="1" ht="66" x14ac:dyDescent="0.3">
      <c r="A468" s="106" t="s">
        <v>1737</v>
      </c>
      <c r="B468" s="107" t="s">
        <v>1738</v>
      </c>
      <c r="C468" s="108">
        <v>1</v>
      </c>
      <c r="D468" s="106" t="s">
        <v>1155</v>
      </c>
      <c r="E468" s="108">
        <v>2012</v>
      </c>
      <c r="F468" s="109" t="s">
        <v>918</v>
      </c>
    </row>
    <row r="469" spans="1:6" s="87" customFormat="1" ht="16.5" x14ac:dyDescent="0.3">
      <c r="A469" s="106" t="s">
        <v>1739</v>
      </c>
      <c r="B469" s="107" t="s">
        <v>1740</v>
      </c>
      <c r="C469" s="108">
        <v>3</v>
      </c>
      <c r="D469" s="106" t="s">
        <v>1450</v>
      </c>
      <c r="E469" s="108">
        <v>1987</v>
      </c>
      <c r="F469" s="109"/>
    </row>
    <row r="470" spans="1:6" s="87" customFormat="1" ht="16.5" x14ac:dyDescent="0.3">
      <c r="A470" s="106" t="s">
        <v>1741</v>
      </c>
      <c r="B470" s="107" t="s">
        <v>1742</v>
      </c>
      <c r="C470" s="108">
        <v>3</v>
      </c>
      <c r="D470" s="106" t="s">
        <v>1287</v>
      </c>
      <c r="E470" s="108">
        <v>1999</v>
      </c>
      <c r="F470" s="109"/>
    </row>
    <row r="471" spans="1:6" s="87" customFormat="1" ht="16.5" x14ac:dyDescent="0.3">
      <c r="A471" s="106" t="s">
        <v>1743</v>
      </c>
      <c r="B471" s="107" t="s">
        <v>1744</v>
      </c>
      <c r="C471" s="108">
        <v>3</v>
      </c>
      <c r="D471" s="106" t="s">
        <v>1239</v>
      </c>
      <c r="E471" s="108">
        <v>1987</v>
      </c>
      <c r="F471" s="109"/>
    </row>
    <row r="472" spans="1:6" s="87" customFormat="1" ht="16.5" x14ac:dyDescent="0.3">
      <c r="A472" s="106" t="s">
        <v>1745</v>
      </c>
      <c r="B472" s="107" t="s">
        <v>1746</v>
      </c>
      <c r="C472" s="106" t="s">
        <v>879</v>
      </c>
      <c r="D472" s="106" t="s">
        <v>1280</v>
      </c>
      <c r="E472" s="108">
        <v>1987</v>
      </c>
      <c r="F472" s="109"/>
    </row>
    <row r="473" spans="1:6" s="87" customFormat="1" ht="16.5" x14ac:dyDescent="0.3">
      <c r="A473" s="106" t="s">
        <v>1747</v>
      </c>
      <c r="B473" s="107" t="s">
        <v>1748</v>
      </c>
      <c r="C473" s="108">
        <v>3</v>
      </c>
      <c r="D473" s="106" t="s">
        <v>1227</v>
      </c>
      <c r="E473" s="108">
        <v>1987</v>
      </c>
      <c r="F473" s="109"/>
    </row>
    <row r="474" spans="1:6" s="87" customFormat="1" ht="16.5" x14ac:dyDescent="0.3">
      <c r="A474" s="106" t="s">
        <v>1749</v>
      </c>
      <c r="B474" s="107" t="s">
        <v>1750</v>
      </c>
      <c r="C474" s="108">
        <v>3</v>
      </c>
      <c r="D474" s="106" t="s">
        <v>1526</v>
      </c>
      <c r="E474" s="108">
        <v>2010</v>
      </c>
      <c r="F474" s="109"/>
    </row>
    <row r="475" spans="1:6" s="87" customFormat="1" ht="16.5" x14ac:dyDescent="0.3">
      <c r="A475" s="106" t="s">
        <v>1751</v>
      </c>
      <c r="B475" s="107" t="s">
        <v>1752</v>
      </c>
      <c r="C475" s="108">
        <v>3</v>
      </c>
      <c r="D475" s="106" t="s">
        <v>1526</v>
      </c>
      <c r="E475" s="108">
        <v>2010</v>
      </c>
      <c r="F475" s="109"/>
    </row>
    <row r="476" spans="1:6" s="87" customFormat="1" ht="66" x14ac:dyDescent="0.3">
      <c r="A476" s="106" t="s">
        <v>1753</v>
      </c>
      <c r="B476" s="107" t="s">
        <v>1754</v>
      </c>
      <c r="C476" s="106" t="s">
        <v>879</v>
      </c>
      <c r="D476" s="108">
        <v>105</v>
      </c>
      <c r="E476" s="108">
        <v>2014</v>
      </c>
      <c r="F476" s="109" t="s">
        <v>957</v>
      </c>
    </row>
    <row r="477" spans="1:6" s="87" customFormat="1" ht="16.5" x14ac:dyDescent="0.3">
      <c r="A477" s="106" t="s">
        <v>1755</v>
      </c>
      <c r="B477" s="107" t="s">
        <v>1756</v>
      </c>
      <c r="C477" s="108">
        <v>1</v>
      </c>
      <c r="D477" s="106" t="s">
        <v>1757</v>
      </c>
      <c r="E477" s="108">
        <v>2012</v>
      </c>
      <c r="F477" s="109"/>
    </row>
    <row r="478" spans="1:6" s="87" customFormat="1" ht="16.5" x14ac:dyDescent="0.3">
      <c r="A478" s="106" t="s">
        <v>1758</v>
      </c>
      <c r="B478" s="107" t="s">
        <v>1759</v>
      </c>
      <c r="C478" s="106" t="s">
        <v>879</v>
      </c>
      <c r="D478" s="106" t="s">
        <v>1390</v>
      </c>
      <c r="E478" s="108">
        <v>1987</v>
      </c>
      <c r="F478" s="109"/>
    </row>
    <row r="479" spans="1:6" s="87" customFormat="1" ht="16.5" x14ac:dyDescent="0.3">
      <c r="A479" s="106" t="s">
        <v>1760</v>
      </c>
      <c r="B479" s="107" t="s">
        <v>1761</v>
      </c>
      <c r="C479" s="108">
        <v>1</v>
      </c>
      <c r="D479" s="106" t="s">
        <v>1079</v>
      </c>
      <c r="E479" s="108">
        <v>2012</v>
      </c>
      <c r="F479" s="109"/>
    </row>
    <row r="480" spans="1:6" s="87" customFormat="1" ht="16.5" x14ac:dyDescent="0.3">
      <c r="A480" s="106" t="s">
        <v>1762</v>
      </c>
      <c r="B480" s="107" t="s">
        <v>1763</v>
      </c>
      <c r="C480" s="106" t="s">
        <v>879</v>
      </c>
      <c r="D480" s="106" t="s">
        <v>1188</v>
      </c>
      <c r="E480" s="108">
        <v>1987</v>
      </c>
      <c r="F480" s="109"/>
    </row>
    <row r="481" spans="1:6" s="87" customFormat="1" ht="16.5" x14ac:dyDescent="0.3">
      <c r="A481" s="106" t="s">
        <v>1764</v>
      </c>
      <c r="B481" s="107" t="s">
        <v>1765</v>
      </c>
      <c r="C481" s="106" t="s">
        <v>879</v>
      </c>
      <c r="D481" s="108">
        <v>92</v>
      </c>
      <c r="E481" s="108">
        <v>2010</v>
      </c>
      <c r="F481" s="109"/>
    </row>
    <row r="482" spans="1:6" s="87" customFormat="1" ht="16.5" x14ac:dyDescent="0.3">
      <c r="A482" s="106" t="s">
        <v>1766</v>
      </c>
      <c r="B482" s="107" t="s">
        <v>1767</v>
      </c>
      <c r="C482" s="106" t="s">
        <v>879</v>
      </c>
      <c r="D482" s="106" t="s">
        <v>1526</v>
      </c>
      <c r="E482" s="108">
        <v>2010</v>
      </c>
      <c r="F482" s="109"/>
    </row>
    <row r="483" spans="1:6" s="87" customFormat="1" ht="16.5" x14ac:dyDescent="0.3">
      <c r="A483" s="106" t="s">
        <v>1768</v>
      </c>
      <c r="B483" s="107" t="s">
        <v>1769</v>
      </c>
      <c r="C483" s="106" t="s">
        <v>879</v>
      </c>
      <c r="D483" s="106" t="s">
        <v>1275</v>
      </c>
      <c r="E483" s="108">
        <v>1999</v>
      </c>
      <c r="F483" s="109"/>
    </row>
    <row r="484" spans="1:6" s="87" customFormat="1" ht="16.5" x14ac:dyDescent="0.3">
      <c r="A484" s="106" t="s">
        <v>1770</v>
      </c>
      <c r="B484" s="107" t="s">
        <v>1771</v>
      </c>
      <c r="C484" s="108">
        <v>3</v>
      </c>
      <c r="D484" s="106" t="s">
        <v>1772</v>
      </c>
      <c r="E484" s="108">
        <v>1987</v>
      </c>
      <c r="F484" s="109"/>
    </row>
    <row r="485" spans="1:6" s="87" customFormat="1" ht="16.5" x14ac:dyDescent="0.3">
      <c r="A485" s="106" t="s">
        <v>1773</v>
      </c>
      <c r="B485" s="107" t="s">
        <v>1774</v>
      </c>
      <c r="C485" s="108">
        <v>3</v>
      </c>
      <c r="D485" s="106" t="s">
        <v>1775</v>
      </c>
      <c r="E485" s="108">
        <v>2010</v>
      </c>
      <c r="F485" s="109"/>
    </row>
    <row r="486" spans="1:6" s="87" customFormat="1" ht="16.5" x14ac:dyDescent="0.3">
      <c r="A486" s="106" t="s">
        <v>1776</v>
      </c>
      <c r="B486" s="107" t="s">
        <v>1777</v>
      </c>
      <c r="C486" s="108">
        <v>3</v>
      </c>
      <c r="D486" s="106" t="s">
        <v>1775</v>
      </c>
      <c r="E486" s="108">
        <v>2010</v>
      </c>
      <c r="F486" s="109"/>
    </row>
    <row r="487" spans="1:6" s="87" customFormat="1" ht="66" x14ac:dyDescent="0.3">
      <c r="A487" s="106" t="s">
        <v>1778</v>
      </c>
      <c r="B487" s="107" t="s">
        <v>1779</v>
      </c>
      <c r="C487" s="106" t="s">
        <v>906</v>
      </c>
      <c r="D487" s="106" t="s">
        <v>1526</v>
      </c>
      <c r="E487" s="108">
        <v>2010</v>
      </c>
      <c r="F487" s="109" t="s">
        <v>1291</v>
      </c>
    </row>
    <row r="488" spans="1:6" s="87" customFormat="1" ht="66" x14ac:dyDescent="0.3">
      <c r="A488" s="106" t="s">
        <v>1780</v>
      </c>
      <c r="B488" s="107" t="s">
        <v>1781</v>
      </c>
      <c r="C488" s="108">
        <v>3</v>
      </c>
      <c r="D488" s="106" t="s">
        <v>1471</v>
      </c>
      <c r="E488" s="108">
        <v>1999</v>
      </c>
      <c r="F488" s="109" t="s">
        <v>1782</v>
      </c>
    </row>
    <row r="489" spans="1:6" s="87" customFormat="1" ht="16.5" x14ac:dyDescent="0.3">
      <c r="A489" s="106" t="s">
        <v>1783</v>
      </c>
      <c r="B489" s="107" t="s">
        <v>1784</v>
      </c>
      <c r="C489" s="108">
        <v>3</v>
      </c>
      <c r="D489" s="108">
        <v>53</v>
      </c>
      <c r="E489" s="108">
        <v>1991</v>
      </c>
      <c r="F489" s="109"/>
    </row>
    <row r="490" spans="1:6" s="87" customFormat="1" ht="16.5" x14ac:dyDescent="0.3">
      <c r="A490" s="106" t="s">
        <v>1785</v>
      </c>
      <c r="B490" s="107" t="s">
        <v>1786</v>
      </c>
      <c r="C490" s="108">
        <v>3</v>
      </c>
      <c r="D490" s="106" t="s">
        <v>1526</v>
      </c>
      <c r="E490" s="108">
        <v>2010</v>
      </c>
      <c r="F490" s="109"/>
    </row>
    <row r="491" spans="1:6" s="87" customFormat="1" ht="16.5" x14ac:dyDescent="0.3">
      <c r="A491" s="106" t="s">
        <v>1787</v>
      </c>
      <c r="B491" s="107" t="s">
        <v>1788</v>
      </c>
      <c r="C491" s="108">
        <v>3</v>
      </c>
      <c r="D491" s="108">
        <v>92</v>
      </c>
      <c r="E491" s="108">
        <v>2010</v>
      </c>
      <c r="F491" s="109"/>
    </row>
    <row r="492" spans="1:6" s="87" customFormat="1" ht="16.5" x14ac:dyDescent="0.3">
      <c r="A492" s="106" t="s">
        <v>1789</v>
      </c>
      <c r="B492" s="107" t="s">
        <v>1790</v>
      </c>
      <c r="C492" s="108">
        <v>3</v>
      </c>
      <c r="D492" s="106" t="s">
        <v>1526</v>
      </c>
      <c r="E492" s="108">
        <v>2010</v>
      </c>
      <c r="F492" s="109"/>
    </row>
    <row r="493" spans="1:6" s="87" customFormat="1" ht="16.5" x14ac:dyDescent="0.3">
      <c r="A493" s="106" t="s">
        <v>1791</v>
      </c>
      <c r="B493" s="107" t="s">
        <v>1792</v>
      </c>
      <c r="C493" s="108">
        <v>3</v>
      </c>
      <c r="D493" s="106" t="s">
        <v>1775</v>
      </c>
      <c r="E493" s="108">
        <v>2010</v>
      </c>
      <c r="F493" s="109"/>
    </row>
    <row r="494" spans="1:6" s="87" customFormat="1" ht="16.5" x14ac:dyDescent="0.3">
      <c r="A494" s="106" t="s">
        <v>1793</v>
      </c>
      <c r="B494" s="107" t="s">
        <v>1794</v>
      </c>
      <c r="C494" s="108">
        <v>3</v>
      </c>
      <c r="D494" s="108">
        <v>92</v>
      </c>
      <c r="E494" s="108">
        <v>2010</v>
      </c>
      <c r="F494" s="109"/>
    </row>
    <row r="495" spans="1:6" s="87" customFormat="1" ht="16.5" x14ac:dyDescent="0.3">
      <c r="A495" s="106" t="s">
        <v>1795</v>
      </c>
      <c r="B495" s="107" t="s">
        <v>1796</v>
      </c>
      <c r="C495" s="106" t="s">
        <v>879</v>
      </c>
      <c r="D495" s="106" t="s">
        <v>1526</v>
      </c>
      <c r="E495" s="108">
        <v>2010</v>
      </c>
      <c r="F495" s="109"/>
    </row>
    <row r="496" spans="1:6" s="87" customFormat="1" ht="16.5" x14ac:dyDescent="0.3">
      <c r="A496" s="106" t="s">
        <v>1797</v>
      </c>
      <c r="B496" s="107" t="s">
        <v>1798</v>
      </c>
      <c r="C496" s="108">
        <v>3</v>
      </c>
      <c r="D496" s="106" t="s">
        <v>1239</v>
      </c>
      <c r="E496" s="108">
        <v>1987</v>
      </c>
      <c r="F496" s="109"/>
    </row>
    <row r="497" spans="1:6" s="87" customFormat="1" ht="16.5" x14ac:dyDescent="0.3">
      <c r="A497" s="106" t="s">
        <v>1797</v>
      </c>
      <c r="B497" s="107" t="s">
        <v>1799</v>
      </c>
      <c r="C497" s="106"/>
      <c r="D497" s="106"/>
      <c r="E497" s="106"/>
      <c r="F497" s="109"/>
    </row>
    <row r="498" spans="1:6" s="87" customFormat="1" ht="16.5" x14ac:dyDescent="0.3">
      <c r="A498" s="106" t="s">
        <v>1800</v>
      </c>
      <c r="B498" s="107" t="s">
        <v>1801</v>
      </c>
      <c r="C498" s="106"/>
      <c r="D498" s="106"/>
      <c r="E498" s="106"/>
      <c r="F498" s="109"/>
    </row>
    <row r="499" spans="1:6" s="87" customFormat="1" ht="16.5" x14ac:dyDescent="0.3">
      <c r="A499" s="106" t="s">
        <v>1802</v>
      </c>
      <c r="B499" s="107" t="s">
        <v>1803</v>
      </c>
      <c r="C499" s="106" t="s">
        <v>879</v>
      </c>
      <c r="D499" s="106" t="s">
        <v>1804</v>
      </c>
      <c r="E499" s="108">
        <v>2013</v>
      </c>
      <c r="F499" s="109"/>
    </row>
    <row r="500" spans="1:6" s="87" customFormat="1" ht="66" x14ac:dyDescent="0.3">
      <c r="A500" s="106" t="s">
        <v>1805</v>
      </c>
      <c r="B500" s="107" t="s">
        <v>1806</v>
      </c>
      <c r="C500" s="106" t="s">
        <v>879</v>
      </c>
      <c r="D500" s="106" t="s">
        <v>1775</v>
      </c>
      <c r="E500" s="108">
        <v>2010</v>
      </c>
      <c r="F500" s="109" t="s">
        <v>957</v>
      </c>
    </row>
    <row r="501" spans="1:6" s="87" customFormat="1" ht="16.5" x14ac:dyDescent="0.3">
      <c r="A501" s="106" t="s">
        <v>1807</v>
      </c>
      <c r="B501" s="107" t="s">
        <v>1808</v>
      </c>
      <c r="C501" s="108">
        <v>3</v>
      </c>
      <c r="D501" s="106" t="s">
        <v>1290</v>
      </c>
      <c r="E501" s="108">
        <v>1999</v>
      </c>
      <c r="F501" s="109"/>
    </row>
    <row r="502" spans="1:6" s="87" customFormat="1" ht="16.5" x14ac:dyDescent="0.3">
      <c r="A502" s="106" t="s">
        <v>1809</v>
      </c>
      <c r="B502" s="107" t="s">
        <v>1810</v>
      </c>
      <c r="C502" s="108">
        <v>3</v>
      </c>
      <c r="D502" s="108">
        <v>92</v>
      </c>
      <c r="E502" s="108">
        <v>2010</v>
      </c>
      <c r="F502" s="109"/>
    </row>
    <row r="503" spans="1:6" s="87" customFormat="1" ht="16.5" x14ac:dyDescent="0.3">
      <c r="A503" s="106" t="s">
        <v>1811</v>
      </c>
      <c r="B503" s="107" t="s">
        <v>1812</v>
      </c>
      <c r="C503" s="108">
        <v>3</v>
      </c>
      <c r="D503" s="106" t="s">
        <v>1526</v>
      </c>
      <c r="E503" s="108">
        <v>2010</v>
      </c>
      <c r="F503" s="109"/>
    </row>
    <row r="504" spans="1:6" s="87" customFormat="1" ht="16.5" x14ac:dyDescent="0.3">
      <c r="A504" s="106" t="s">
        <v>1813</v>
      </c>
      <c r="B504" s="107" t="s">
        <v>1814</v>
      </c>
      <c r="C504" s="108">
        <v>3</v>
      </c>
      <c r="D504" s="106" t="s">
        <v>929</v>
      </c>
      <c r="E504" s="108">
        <v>1987</v>
      </c>
      <c r="F504" s="109"/>
    </row>
    <row r="505" spans="1:6" s="87" customFormat="1" ht="66" x14ac:dyDescent="0.3">
      <c r="A505" s="106" t="s">
        <v>1815</v>
      </c>
      <c r="B505" s="107" t="s">
        <v>1816</v>
      </c>
      <c r="C505" s="106" t="s">
        <v>879</v>
      </c>
      <c r="D505" s="108">
        <v>92</v>
      </c>
      <c r="E505" s="108">
        <v>2010</v>
      </c>
      <c r="F505" s="109" t="s">
        <v>1817</v>
      </c>
    </row>
    <row r="506" spans="1:6" s="87" customFormat="1" ht="16.5" x14ac:dyDescent="0.3">
      <c r="A506" s="106" t="s">
        <v>1818</v>
      </c>
      <c r="B506" s="107" t="s">
        <v>1819</v>
      </c>
      <c r="C506" s="108">
        <v>3</v>
      </c>
      <c r="D506" s="108">
        <v>92</v>
      </c>
      <c r="E506" s="108">
        <v>2010</v>
      </c>
      <c r="F506" s="109"/>
    </row>
    <row r="507" spans="1:6" s="87" customFormat="1" ht="16.5" x14ac:dyDescent="0.3">
      <c r="A507" s="106" t="s">
        <v>1820</v>
      </c>
      <c r="B507" s="107" t="s">
        <v>1821</v>
      </c>
      <c r="C507" s="108">
        <v>3</v>
      </c>
      <c r="D507" s="108">
        <v>92</v>
      </c>
      <c r="E507" s="108">
        <v>2010</v>
      </c>
      <c r="F507" s="109"/>
    </row>
    <row r="508" spans="1:6" s="87" customFormat="1" ht="16.5" x14ac:dyDescent="0.3">
      <c r="A508" s="106" t="s">
        <v>1822</v>
      </c>
      <c r="B508" s="107" t="s">
        <v>1823</v>
      </c>
      <c r="C508" s="108">
        <v>3</v>
      </c>
      <c r="D508" s="108">
        <v>46</v>
      </c>
      <c r="E508" s="108">
        <v>1989</v>
      </c>
      <c r="F508" s="109"/>
    </row>
    <row r="509" spans="1:6" s="87" customFormat="1" ht="16.5" x14ac:dyDescent="0.3">
      <c r="A509" s="106" t="s">
        <v>1824</v>
      </c>
      <c r="B509" s="107" t="s">
        <v>1825</v>
      </c>
      <c r="C509" s="108">
        <v>3</v>
      </c>
      <c r="D509" s="106" t="s">
        <v>1775</v>
      </c>
      <c r="E509" s="108">
        <v>2010</v>
      </c>
      <c r="F509" s="109"/>
    </row>
    <row r="510" spans="1:6" s="87" customFormat="1" ht="16.5" x14ac:dyDescent="0.3">
      <c r="A510" s="106" t="s">
        <v>1826</v>
      </c>
      <c r="B510" s="107" t="s">
        <v>1827</v>
      </c>
      <c r="C510" s="108">
        <v>3</v>
      </c>
      <c r="D510" s="108">
        <v>92</v>
      </c>
      <c r="E510" s="108">
        <v>2010</v>
      </c>
      <c r="F510" s="109"/>
    </row>
    <row r="511" spans="1:6" s="87" customFormat="1" ht="16.5" x14ac:dyDescent="0.3">
      <c r="A511" s="106" t="s">
        <v>1828</v>
      </c>
      <c r="B511" s="107" t="s">
        <v>1829</v>
      </c>
      <c r="C511" s="108">
        <v>3</v>
      </c>
      <c r="D511" s="106" t="s">
        <v>1775</v>
      </c>
      <c r="E511" s="108">
        <v>2010</v>
      </c>
      <c r="F511" s="109"/>
    </row>
    <row r="512" spans="1:6" s="87" customFormat="1" ht="16.5" x14ac:dyDescent="0.3">
      <c r="A512" s="106" t="s">
        <v>1830</v>
      </c>
      <c r="B512" s="107" t="s">
        <v>1831</v>
      </c>
      <c r="C512" s="108">
        <v>3</v>
      </c>
      <c r="D512" s="106" t="s">
        <v>1775</v>
      </c>
      <c r="E512" s="108">
        <v>2010</v>
      </c>
      <c r="F512" s="109"/>
    </row>
    <row r="513" spans="1:6" s="87" customFormat="1" ht="16.5" x14ac:dyDescent="0.3">
      <c r="A513" s="106" t="s">
        <v>1832</v>
      </c>
      <c r="B513" s="107" t="s">
        <v>1833</v>
      </c>
      <c r="C513" s="106" t="s">
        <v>879</v>
      </c>
      <c r="D513" s="108">
        <v>92</v>
      </c>
      <c r="E513" s="108">
        <v>2010</v>
      </c>
      <c r="F513" s="109"/>
    </row>
    <row r="514" spans="1:6" s="87" customFormat="1" ht="16.5" x14ac:dyDescent="0.3">
      <c r="A514" s="106" t="s">
        <v>1834</v>
      </c>
      <c r="B514" s="107" t="s">
        <v>1835</v>
      </c>
      <c r="C514" s="106" t="s">
        <v>879</v>
      </c>
      <c r="D514" s="108">
        <v>92</v>
      </c>
      <c r="E514" s="108">
        <v>2010</v>
      </c>
      <c r="F514" s="109"/>
    </row>
    <row r="515" spans="1:6" s="87" customFormat="1" ht="16.5" x14ac:dyDescent="0.3">
      <c r="A515" s="106" t="s">
        <v>1836</v>
      </c>
      <c r="B515" s="107" t="s">
        <v>1837</v>
      </c>
      <c r="C515" s="108">
        <v>3</v>
      </c>
      <c r="D515" s="108">
        <v>46</v>
      </c>
      <c r="E515" s="108">
        <v>1989</v>
      </c>
      <c r="F515" s="109"/>
    </row>
    <row r="516" spans="1:6" s="87" customFormat="1" ht="16.5" x14ac:dyDescent="0.3">
      <c r="A516" s="106" t="s">
        <v>1838</v>
      </c>
      <c r="B516" s="107" t="s">
        <v>1839</v>
      </c>
      <c r="C516" s="108">
        <v>3</v>
      </c>
      <c r="D516" s="106" t="s">
        <v>1526</v>
      </c>
      <c r="E516" s="108">
        <v>2010</v>
      </c>
      <c r="F516" s="109"/>
    </row>
    <row r="517" spans="1:6" s="87" customFormat="1" ht="16.5" x14ac:dyDescent="0.3">
      <c r="A517" s="106" t="s">
        <v>1840</v>
      </c>
      <c r="B517" s="107" t="s">
        <v>1841</v>
      </c>
      <c r="C517" s="108">
        <v>3</v>
      </c>
      <c r="D517" s="106" t="s">
        <v>1361</v>
      </c>
      <c r="E517" s="108">
        <v>1987</v>
      </c>
      <c r="F517" s="109"/>
    </row>
    <row r="518" spans="1:6" s="87" customFormat="1" ht="16.5" x14ac:dyDescent="0.3">
      <c r="A518" s="106" t="s">
        <v>1842</v>
      </c>
      <c r="B518" s="107" t="s">
        <v>1843</v>
      </c>
      <c r="C518" s="106" t="s">
        <v>879</v>
      </c>
      <c r="D518" s="108">
        <v>92</v>
      </c>
      <c r="E518" s="108">
        <v>2010</v>
      </c>
      <c r="F518" s="109"/>
    </row>
    <row r="519" spans="1:6" s="87" customFormat="1" ht="16.5" x14ac:dyDescent="0.2">
      <c r="A519" s="106" t="s">
        <v>1844</v>
      </c>
      <c r="B519" s="107" t="s">
        <v>1845</v>
      </c>
      <c r="C519" s="108">
        <v>3</v>
      </c>
      <c r="D519" s="108">
        <v>92</v>
      </c>
      <c r="E519" s="108">
        <v>2010</v>
      </c>
      <c r="F519" s="111"/>
    </row>
    <row r="520" spans="1:6" s="87" customFormat="1" ht="16.5" x14ac:dyDescent="0.2">
      <c r="A520" s="106" t="s">
        <v>1846</v>
      </c>
      <c r="B520" s="107" t="s">
        <v>1847</v>
      </c>
      <c r="C520" s="106" t="s">
        <v>879</v>
      </c>
      <c r="D520" s="108">
        <v>108</v>
      </c>
      <c r="E520" s="108">
        <v>2016</v>
      </c>
      <c r="F520" s="111"/>
    </row>
    <row r="521" spans="1:6" s="87" customFormat="1" ht="16.5" x14ac:dyDescent="0.2">
      <c r="A521" s="106" t="s">
        <v>1848</v>
      </c>
      <c r="B521" s="107" t="s">
        <v>1849</v>
      </c>
      <c r="C521" s="106" t="s">
        <v>879</v>
      </c>
      <c r="D521" s="106" t="s">
        <v>1196</v>
      </c>
      <c r="E521" s="108">
        <v>1987</v>
      </c>
      <c r="F521" s="111"/>
    </row>
    <row r="522" spans="1:6" s="87" customFormat="1" ht="16.5" x14ac:dyDescent="0.2">
      <c r="A522" s="106" t="s">
        <v>1850</v>
      </c>
      <c r="B522" s="107" t="s">
        <v>1851</v>
      </c>
      <c r="C522" s="108">
        <v>3</v>
      </c>
      <c r="D522" s="106" t="s">
        <v>1205</v>
      </c>
      <c r="E522" s="108">
        <v>1987</v>
      </c>
      <c r="F522" s="111"/>
    </row>
    <row r="523" spans="1:6" s="87" customFormat="1" ht="16.5" x14ac:dyDescent="0.2">
      <c r="A523" s="106" t="s">
        <v>1852</v>
      </c>
      <c r="B523" s="107" t="s">
        <v>1853</v>
      </c>
      <c r="C523" s="108">
        <v>3</v>
      </c>
      <c r="D523" s="108">
        <v>92</v>
      </c>
      <c r="E523" s="108">
        <v>2010</v>
      </c>
      <c r="F523" s="111"/>
    </row>
    <row r="524" spans="1:6" s="87" customFormat="1" ht="16.5" x14ac:dyDescent="0.2">
      <c r="A524" s="106" t="s">
        <v>1854</v>
      </c>
      <c r="B524" s="107" t="s">
        <v>1855</v>
      </c>
      <c r="C524" s="108">
        <v>3</v>
      </c>
      <c r="D524" s="106" t="s">
        <v>1450</v>
      </c>
      <c r="E524" s="108">
        <v>1987</v>
      </c>
      <c r="F524" s="111"/>
    </row>
    <row r="525" spans="1:6" s="87" customFormat="1" ht="16.5" x14ac:dyDescent="0.2">
      <c r="A525" s="106" t="s">
        <v>1856</v>
      </c>
      <c r="B525" s="107" t="s">
        <v>1857</v>
      </c>
      <c r="C525" s="108">
        <v>3</v>
      </c>
      <c r="D525" s="108">
        <v>92</v>
      </c>
      <c r="E525" s="108">
        <v>2010</v>
      </c>
      <c r="F525" s="111"/>
    </row>
    <row r="526" spans="1:6" s="87" customFormat="1" ht="16.5" x14ac:dyDescent="0.2">
      <c r="A526" s="106" t="s">
        <v>1858</v>
      </c>
      <c r="B526" s="107" t="s">
        <v>1859</v>
      </c>
      <c r="C526" s="108">
        <v>3</v>
      </c>
      <c r="D526" s="108">
        <v>92</v>
      </c>
      <c r="E526" s="108">
        <v>2010</v>
      </c>
      <c r="F526" s="111"/>
    </row>
    <row r="527" spans="1:6" s="87" customFormat="1" ht="16.5" x14ac:dyDescent="0.2">
      <c r="A527" s="106" t="s">
        <v>1860</v>
      </c>
      <c r="B527" s="107" t="s">
        <v>1861</v>
      </c>
      <c r="C527" s="108">
        <v>3</v>
      </c>
      <c r="D527" s="106" t="s">
        <v>1526</v>
      </c>
      <c r="E527" s="108">
        <v>2010</v>
      </c>
      <c r="F527" s="111"/>
    </row>
    <row r="528" spans="1:6" s="87" customFormat="1" ht="16.5" x14ac:dyDescent="0.2">
      <c r="A528" s="106" t="s">
        <v>1862</v>
      </c>
      <c r="B528" s="107" t="s">
        <v>1863</v>
      </c>
      <c r="C528" s="108">
        <v>3</v>
      </c>
      <c r="D528" s="106" t="s">
        <v>1390</v>
      </c>
      <c r="E528" s="108">
        <v>1987</v>
      </c>
      <c r="F528" s="111"/>
    </row>
    <row r="529" spans="1:6" s="87" customFormat="1" ht="16.5" x14ac:dyDescent="0.2">
      <c r="A529" s="106" t="s">
        <v>1864</v>
      </c>
      <c r="B529" s="107" t="s">
        <v>1865</v>
      </c>
      <c r="C529" s="108">
        <v>3</v>
      </c>
      <c r="D529" s="106" t="s">
        <v>1321</v>
      </c>
      <c r="E529" s="108">
        <v>1987</v>
      </c>
      <c r="F529" s="111"/>
    </row>
    <row r="530" spans="1:6" s="87" customFormat="1" ht="16.5" x14ac:dyDescent="0.2">
      <c r="A530" s="106" t="s">
        <v>1866</v>
      </c>
      <c r="B530" s="107" t="s">
        <v>1867</v>
      </c>
      <c r="C530" s="108">
        <v>3</v>
      </c>
      <c r="D530" s="106" t="s">
        <v>1526</v>
      </c>
      <c r="E530" s="108">
        <v>2010</v>
      </c>
      <c r="F530" s="111"/>
    </row>
    <row r="531" spans="1:6" s="87" customFormat="1" ht="16.5" x14ac:dyDescent="0.2">
      <c r="A531" s="106" t="s">
        <v>1868</v>
      </c>
      <c r="B531" s="107" t="s">
        <v>1869</v>
      </c>
      <c r="C531" s="106" t="s">
        <v>879</v>
      </c>
      <c r="D531" s="108">
        <v>92</v>
      </c>
      <c r="E531" s="108">
        <v>2010</v>
      </c>
      <c r="F531" s="111"/>
    </row>
    <row r="532" spans="1:6" s="87" customFormat="1" ht="16.5" x14ac:dyDescent="0.2">
      <c r="A532" s="106" t="s">
        <v>1870</v>
      </c>
      <c r="B532" s="107" t="s">
        <v>1871</v>
      </c>
      <c r="C532" s="108">
        <v>3</v>
      </c>
      <c r="D532" s="106" t="s">
        <v>1196</v>
      </c>
      <c r="E532" s="108">
        <v>1987</v>
      </c>
      <c r="F532" s="111"/>
    </row>
    <row r="533" spans="1:6" s="87" customFormat="1" ht="16.5" x14ac:dyDescent="0.2">
      <c r="A533" s="106" t="s">
        <v>1872</v>
      </c>
      <c r="B533" s="107" t="s">
        <v>1873</v>
      </c>
      <c r="C533" s="106" t="s">
        <v>879</v>
      </c>
      <c r="D533" s="106" t="s">
        <v>1457</v>
      </c>
      <c r="E533" s="108">
        <v>2017</v>
      </c>
      <c r="F533" s="111"/>
    </row>
    <row r="534" spans="1:6" s="87" customFormat="1" ht="16.5" x14ac:dyDescent="0.2">
      <c r="A534" s="106" t="s">
        <v>1874</v>
      </c>
      <c r="B534" s="107" t="s">
        <v>1875</v>
      </c>
      <c r="C534" s="108">
        <v>3</v>
      </c>
      <c r="D534" s="106" t="s">
        <v>1526</v>
      </c>
      <c r="E534" s="108">
        <v>2010</v>
      </c>
      <c r="F534" s="111"/>
    </row>
    <row r="535" spans="1:6" s="87" customFormat="1" ht="33" x14ac:dyDescent="0.3">
      <c r="A535" s="106" t="s">
        <v>1876</v>
      </c>
      <c r="B535" s="107" t="s">
        <v>1877</v>
      </c>
      <c r="C535" s="106" t="s">
        <v>906</v>
      </c>
      <c r="D535" s="108">
        <v>86</v>
      </c>
      <c r="E535" s="108">
        <v>2006</v>
      </c>
      <c r="F535" s="109" t="s">
        <v>1653</v>
      </c>
    </row>
    <row r="536" spans="1:6" s="87" customFormat="1" ht="16.5" x14ac:dyDescent="0.3">
      <c r="A536" s="106" t="s">
        <v>1878</v>
      </c>
      <c r="B536" s="107" t="s">
        <v>1879</v>
      </c>
      <c r="C536" s="108">
        <v>3</v>
      </c>
      <c r="D536" s="106" t="s">
        <v>1526</v>
      </c>
      <c r="E536" s="108">
        <v>2010</v>
      </c>
      <c r="F536" s="109"/>
    </row>
    <row r="537" spans="1:6" s="87" customFormat="1" ht="66" x14ac:dyDescent="0.3">
      <c r="A537" s="106" t="s">
        <v>1880</v>
      </c>
      <c r="B537" s="107" t="s">
        <v>1881</v>
      </c>
      <c r="C537" s="106" t="s">
        <v>906</v>
      </c>
      <c r="D537" s="106" t="s">
        <v>1804</v>
      </c>
      <c r="E537" s="108">
        <v>2013</v>
      </c>
      <c r="F537" s="109" t="s">
        <v>1291</v>
      </c>
    </row>
    <row r="538" spans="1:6" s="87" customFormat="1" ht="66" x14ac:dyDescent="0.3">
      <c r="A538" s="106" t="s">
        <v>1882</v>
      </c>
      <c r="B538" s="107" t="s">
        <v>1883</v>
      </c>
      <c r="C538" s="106" t="s">
        <v>879</v>
      </c>
      <c r="D538" s="108">
        <v>103</v>
      </c>
      <c r="E538" s="108">
        <v>2013</v>
      </c>
      <c r="F538" s="109" t="s">
        <v>957</v>
      </c>
    </row>
    <row r="539" spans="1:6" s="87" customFormat="1" ht="16.5" x14ac:dyDescent="0.3">
      <c r="A539" s="106" t="s">
        <v>1884</v>
      </c>
      <c r="B539" s="107" t="s">
        <v>1885</v>
      </c>
      <c r="C539" s="108">
        <v>3</v>
      </c>
      <c r="D539" s="106" t="s">
        <v>1227</v>
      </c>
      <c r="E539" s="108">
        <v>1987</v>
      </c>
      <c r="F539" s="109"/>
    </row>
    <row r="540" spans="1:6" s="87" customFormat="1" ht="16.5" x14ac:dyDescent="0.3">
      <c r="A540" s="106" t="s">
        <v>1886</v>
      </c>
      <c r="B540" s="107" t="s">
        <v>1887</v>
      </c>
      <c r="C540" s="108">
        <v>3</v>
      </c>
      <c r="D540" s="106" t="s">
        <v>1804</v>
      </c>
      <c r="E540" s="108">
        <v>2013</v>
      </c>
      <c r="F540" s="109"/>
    </row>
    <row r="541" spans="1:6" s="87" customFormat="1" ht="16.5" x14ac:dyDescent="0.3">
      <c r="A541" s="106" t="s">
        <v>1888</v>
      </c>
      <c r="B541" s="107" t="s">
        <v>1889</v>
      </c>
      <c r="C541" s="108">
        <v>3</v>
      </c>
      <c r="D541" s="106" t="s">
        <v>1804</v>
      </c>
      <c r="E541" s="108">
        <v>2013</v>
      </c>
      <c r="F541" s="109"/>
    </row>
    <row r="542" spans="1:6" s="87" customFormat="1" ht="16.5" x14ac:dyDescent="0.3">
      <c r="A542" s="106" t="s">
        <v>1890</v>
      </c>
      <c r="B542" s="107" t="s">
        <v>1891</v>
      </c>
      <c r="C542" s="106" t="s">
        <v>879</v>
      </c>
      <c r="D542" s="106" t="s">
        <v>1268</v>
      </c>
      <c r="E542" s="108">
        <v>2014</v>
      </c>
      <c r="F542" s="109"/>
    </row>
    <row r="543" spans="1:6" s="87" customFormat="1" ht="16.5" x14ac:dyDescent="0.3">
      <c r="A543" s="106" t="s">
        <v>1892</v>
      </c>
      <c r="B543" s="107" t="s">
        <v>1893</v>
      </c>
      <c r="C543" s="108">
        <v>3</v>
      </c>
      <c r="D543" s="106" t="s">
        <v>1450</v>
      </c>
      <c r="E543" s="108">
        <v>1987</v>
      </c>
      <c r="F543" s="109"/>
    </row>
    <row r="544" spans="1:6" s="87" customFormat="1" ht="16.5" x14ac:dyDescent="0.3">
      <c r="A544" s="106" t="s">
        <v>1894</v>
      </c>
      <c r="B544" s="107" t="s">
        <v>1895</v>
      </c>
      <c r="C544" s="106" t="s">
        <v>879</v>
      </c>
      <c r="D544" s="106" t="s">
        <v>1804</v>
      </c>
      <c r="E544" s="108">
        <v>2013</v>
      </c>
      <c r="F544" s="109"/>
    </row>
    <row r="545" spans="1:6" s="87" customFormat="1" ht="16.5" x14ac:dyDescent="0.3">
      <c r="A545" s="106" t="s">
        <v>1896</v>
      </c>
      <c r="B545" s="107" t="s">
        <v>1897</v>
      </c>
      <c r="C545" s="108">
        <v>3</v>
      </c>
      <c r="D545" s="106" t="s">
        <v>1321</v>
      </c>
      <c r="E545" s="108">
        <v>1987</v>
      </c>
      <c r="F545" s="109"/>
    </row>
    <row r="546" spans="1:6" s="87" customFormat="1" ht="16.5" x14ac:dyDescent="0.3">
      <c r="A546" s="106" t="s">
        <v>1898</v>
      </c>
      <c r="B546" s="107" t="s">
        <v>1899</v>
      </c>
      <c r="C546" s="108">
        <v>3</v>
      </c>
      <c r="D546" s="106" t="s">
        <v>907</v>
      </c>
      <c r="E546" s="108">
        <v>1987</v>
      </c>
      <c r="F546" s="109"/>
    </row>
    <row r="547" spans="1:6" s="87" customFormat="1" ht="16.5" x14ac:dyDescent="0.3">
      <c r="A547" s="106" t="s">
        <v>1900</v>
      </c>
      <c r="B547" s="107" t="s">
        <v>1901</v>
      </c>
      <c r="C547" s="108">
        <v>3</v>
      </c>
      <c r="D547" s="106" t="s">
        <v>1390</v>
      </c>
      <c r="E547" s="108">
        <v>1987</v>
      </c>
      <c r="F547" s="109"/>
    </row>
    <row r="548" spans="1:6" s="87" customFormat="1" ht="16.5" x14ac:dyDescent="0.3">
      <c r="A548" s="106" t="s">
        <v>1902</v>
      </c>
      <c r="B548" s="107" t="s">
        <v>1903</v>
      </c>
      <c r="C548" s="108">
        <v>3</v>
      </c>
      <c r="D548" s="106" t="s">
        <v>1450</v>
      </c>
      <c r="E548" s="108">
        <v>1987</v>
      </c>
      <c r="F548" s="109"/>
    </row>
    <row r="549" spans="1:6" s="87" customFormat="1" ht="66" x14ac:dyDescent="0.3">
      <c r="A549" s="106" t="s">
        <v>1904</v>
      </c>
      <c r="B549" s="107" t="s">
        <v>1905</v>
      </c>
      <c r="C549" s="106" t="s">
        <v>906</v>
      </c>
      <c r="D549" s="106" t="s">
        <v>1196</v>
      </c>
      <c r="E549" s="108">
        <v>1987</v>
      </c>
      <c r="F549" s="109" t="s">
        <v>1291</v>
      </c>
    </row>
    <row r="550" spans="1:6" s="87" customFormat="1" ht="16.5" x14ac:dyDescent="0.3">
      <c r="A550" s="106" t="s">
        <v>1906</v>
      </c>
      <c r="B550" s="107" t="s">
        <v>1907</v>
      </c>
      <c r="C550" s="106" t="s">
        <v>879</v>
      </c>
      <c r="D550" s="106" t="s">
        <v>1908</v>
      </c>
      <c r="E550" s="108">
        <v>2002</v>
      </c>
      <c r="F550" s="109"/>
    </row>
    <row r="551" spans="1:6" s="87" customFormat="1" ht="16.5" x14ac:dyDescent="0.3">
      <c r="A551" s="106" t="s">
        <v>1909</v>
      </c>
      <c r="B551" s="107" t="s">
        <v>1910</v>
      </c>
      <c r="C551" s="108">
        <v>3</v>
      </c>
      <c r="D551" s="106" t="s">
        <v>1468</v>
      </c>
      <c r="E551" s="108">
        <v>1987</v>
      </c>
      <c r="F551" s="109"/>
    </row>
    <row r="552" spans="1:6" s="87" customFormat="1" ht="16.5" x14ac:dyDescent="0.3">
      <c r="A552" s="106" t="s">
        <v>1911</v>
      </c>
      <c r="B552" s="107" t="s">
        <v>1912</v>
      </c>
      <c r="C552" s="108">
        <v>3</v>
      </c>
      <c r="D552" s="106" t="s">
        <v>1280</v>
      </c>
      <c r="E552" s="108">
        <v>1987</v>
      </c>
      <c r="F552" s="109"/>
    </row>
    <row r="553" spans="1:6" s="87" customFormat="1" ht="16.5" x14ac:dyDescent="0.3">
      <c r="A553" s="106" t="s">
        <v>1913</v>
      </c>
      <c r="B553" s="107" t="s">
        <v>1914</v>
      </c>
      <c r="C553" s="108">
        <v>3</v>
      </c>
      <c r="D553" s="106" t="s">
        <v>929</v>
      </c>
      <c r="E553" s="108">
        <v>1987</v>
      </c>
      <c r="F553" s="109"/>
    </row>
    <row r="554" spans="1:6" s="87" customFormat="1" ht="16.5" x14ac:dyDescent="0.3">
      <c r="A554" s="106" t="s">
        <v>1915</v>
      </c>
      <c r="B554" s="107" t="s">
        <v>1916</v>
      </c>
      <c r="C554" s="108">
        <v>3</v>
      </c>
      <c r="D554" s="106" t="s">
        <v>1205</v>
      </c>
      <c r="E554" s="108">
        <v>1987</v>
      </c>
      <c r="F554" s="109"/>
    </row>
    <row r="555" spans="1:6" s="87" customFormat="1" ht="16.5" x14ac:dyDescent="0.3">
      <c r="A555" s="106" t="s">
        <v>1917</v>
      </c>
      <c r="B555" s="107" t="s">
        <v>1918</v>
      </c>
      <c r="C555" s="108">
        <v>3</v>
      </c>
      <c r="D555" s="106" t="s">
        <v>1775</v>
      </c>
      <c r="E555" s="108">
        <v>2010</v>
      </c>
      <c r="F555" s="109"/>
    </row>
    <row r="556" spans="1:6" s="87" customFormat="1" ht="16.5" x14ac:dyDescent="0.3">
      <c r="A556" s="106" t="s">
        <v>1919</v>
      </c>
      <c r="B556" s="107" t="s">
        <v>1920</v>
      </c>
      <c r="C556" s="106" t="s">
        <v>879</v>
      </c>
      <c r="D556" s="106" t="s">
        <v>1003</v>
      </c>
      <c r="E556" s="108">
        <v>1987</v>
      </c>
      <c r="F556" s="109"/>
    </row>
    <row r="557" spans="1:6" s="87" customFormat="1" ht="16.5" x14ac:dyDescent="0.3">
      <c r="A557" s="106" t="s">
        <v>1921</v>
      </c>
      <c r="B557" s="107" t="s">
        <v>1922</v>
      </c>
      <c r="C557" s="108">
        <v>3</v>
      </c>
      <c r="D557" s="106" t="s">
        <v>1287</v>
      </c>
      <c r="E557" s="108">
        <v>1999</v>
      </c>
      <c r="F557" s="109"/>
    </row>
    <row r="558" spans="1:6" s="87" customFormat="1" ht="16.5" x14ac:dyDescent="0.3">
      <c r="A558" s="106" t="s">
        <v>1923</v>
      </c>
      <c r="B558" s="107" t="s">
        <v>1924</v>
      </c>
      <c r="C558" s="108">
        <v>3</v>
      </c>
      <c r="D558" s="108">
        <v>103</v>
      </c>
      <c r="E558" s="108">
        <v>2013</v>
      </c>
      <c r="F558" s="109"/>
    </row>
    <row r="559" spans="1:6" s="87" customFormat="1" ht="66" x14ac:dyDescent="0.3">
      <c r="A559" s="106" t="s">
        <v>1925</v>
      </c>
      <c r="B559" s="107" t="s">
        <v>1926</v>
      </c>
      <c r="C559" s="106" t="s">
        <v>906</v>
      </c>
      <c r="D559" s="108">
        <v>53</v>
      </c>
      <c r="E559" s="108">
        <v>1991</v>
      </c>
      <c r="F559" s="109" t="s">
        <v>1291</v>
      </c>
    </row>
    <row r="560" spans="1:6" s="87" customFormat="1" ht="16.5" x14ac:dyDescent="0.3">
      <c r="A560" s="106" t="s">
        <v>1927</v>
      </c>
      <c r="B560" s="107" t="s">
        <v>1928</v>
      </c>
      <c r="C560" s="108">
        <v>3</v>
      </c>
      <c r="D560" s="108">
        <v>57</v>
      </c>
      <c r="E560" s="108">
        <v>1993</v>
      </c>
      <c r="F560" s="109"/>
    </row>
    <row r="561" spans="1:6" s="87" customFormat="1" ht="16.5" x14ac:dyDescent="0.3">
      <c r="A561" s="106" t="s">
        <v>1929</v>
      </c>
      <c r="B561" s="107" t="s">
        <v>1930</v>
      </c>
      <c r="C561" s="106" t="s">
        <v>879</v>
      </c>
      <c r="D561" s="108">
        <v>125</v>
      </c>
      <c r="E561" s="106" t="s">
        <v>1083</v>
      </c>
      <c r="F561" s="109"/>
    </row>
    <row r="562" spans="1:6" s="87" customFormat="1" ht="16.5" x14ac:dyDescent="0.3">
      <c r="A562" s="106" t="s">
        <v>1931</v>
      </c>
      <c r="B562" s="107" t="s">
        <v>1932</v>
      </c>
      <c r="C562" s="106" t="s">
        <v>879</v>
      </c>
      <c r="D562" s="108">
        <v>57</v>
      </c>
      <c r="E562" s="108">
        <v>1993</v>
      </c>
      <c r="F562" s="109"/>
    </row>
    <row r="563" spans="1:6" s="87" customFormat="1" ht="16.5" x14ac:dyDescent="0.3">
      <c r="A563" s="106" t="s">
        <v>1933</v>
      </c>
      <c r="B563" s="107" t="s">
        <v>1934</v>
      </c>
      <c r="C563" s="108">
        <v>3</v>
      </c>
      <c r="D563" s="106" t="s">
        <v>1775</v>
      </c>
      <c r="E563" s="108">
        <v>2010</v>
      </c>
      <c r="F563" s="109"/>
    </row>
    <row r="564" spans="1:6" s="87" customFormat="1" ht="16.5" x14ac:dyDescent="0.3">
      <c r="A564" s="106" t="s">
        <v>1935</v>
      </c>
      <c r="B564" s="107" t="s">
        <v>1936</v>
      </c>
      <c r="C564" s="108">
        <v>3</v>
      </c>
      <c r="D564" s="106" t="s">
        <v>1216</v>
      </c>
      <c r="E564" s="108">
        <v>1987</v>
      </c>
      <c r="F564" s="109"/>
    </row>
    <row r="565" spans="1:6" s="87" customFormat="1" ht="16.5" x14ac:dyDescent="0.3">
      <c r="A565" s="106" t="s">
        <v>1937</v>
      </c>
      <c r="B565" s="107" t="s">
        <v>1938</v>
      </c>
      <c r="C565" s="108">
        <v>3</v>
      </c>
      <c r="D565" s="106" t="s">
        <v>1290</v>
      </c>
      <c r="E565" s="108">
        <v>1999</v>
      </c>
      <c r="F565" s="109"/>
    </row>
    <row r="566" spans="1:6" s="87" customFormat="1" ht="16.5" x14ac:dyDescent="0.3">
      <c r="A566" s="106" t="s">
        <v>1939</v>
      </c>
      <c r="B566" s="107" t="s">
        <v>1940</v>
      </c>
      <c r="C566" s="106" t="s">
        <v>879</v>
      </c>
      <c r="D566" s="108">
        <v>48</v>
      </c>
      <c r="E566" s="108">
        <v>1990</v>
      </c>
      <c r="F566" s="109"/>
    </row>
    <row r="567" spans="1:6" s="87" customFormat="1" ht="16.5" x14ac:dyDescent="0.3">
      <c r="A567" s="106" t="s">
        <v>1941</v>
      </c>
      <c r="B567" s="107" t="s">
        <v>1942</v>
      </c>
      <c r="C567" s="108">
        <v>3</v>
      </c>
      <c r="D567" s="108">
        <v>68</v>
      </c>
      <c r="E567" s="108">
        <v>1997</v>
      </c>
      <c r="F567" s="109"/>
    </row>
    <row r="568" spans="1:6" s="87" customFormat="1" ht="16.5" x14ac:dyDescent="0.3">
      <c r="A568" s="106" t="s">
        <v>1943</v>
      </c>
      <c r="B568" s="107" t="s">
        <v>1944</v>
      </c>
      <c r="C568" s="108">
        <v>3</v>
      </c>
      <c r="D568" s="108">
        <v>60</v>
      </c>
      <c r="E568" s="108">
        <v>1994</v>
      </c>
      <c r="F568" s="109"/>
    </row>
    <row r="569" spans="1:6" s="87" customFormat="1" ht="16.5" x14ac:dyDescent="0.3">
      <c r="A569" s="106" t="s">
        <v>1945</v>
      </c>
      <c r="B569" s="107" t="s">
        <v>1946</v>
      </c>
      <c r="C569" s="106" t="s">
        <v>879</v>
      </c>
      <c r="D569" s="106" t="s">
        <v>929</v>
      </c>
      <c r="E569" s="108">
        <v>1987</v>
      </c>
      <c r="F569" s="109"/>
    </row>
    <row r="570" spans="1:6" s="87" customFormat="1" ht="16.5" x14ac:dyDescent="0.3">
      <c r="A570" s="106" t="s">
        <v>1947</v>
      </c>
      <c r="B570" s="107" t="s">
        <v>1948</v>
      </c>
      <c r="C570" s="108">
        <v>3</v>
      </c>
      <c r="D570" s="106" t="s">
        <v>896</v>
      </c>
      <c r="E570" s="108">
        <v>1987</v>
      </c>
      <c r="F570" s="109"/>
    </row>
    <row r="571" spans="1:6" s="87" customFormat="1" ht="16.5" x14ac:dyDescent="0.3">
      <c r="A571" s="106" t="s">
        <v>1949</v>
      </c>
      <c r="B571" s="107" t="s">
        <v>1950</v>
      </c>
      <c r="C571" s="108">
        <v>3</v>
      </c>
      <c r="D571" s="108">
        <v>92</v>
      </c>
      <c r="E571" s="108">
        <v>2010</v>
      </c>
      <c r="F571" s="109"/>
    </row>
    <row r="572" spans="1:6" s="87" customFormat="1" ht="16.5" x14ac:dyDescent="0.3">
      <c r="A572" s="106" t="s">
        <v>1951</v>
      </c>
      <c r="B572" s="107" t="s">
        <v>1952</v>
      </c>
      <c r="C572" s="108">
        <v>3</v>
      </c>
      <c r="D572" s="108">
        <v>66</v>
      </c>
      <c r="E572" s="108">
        <v>1996</v>
      </c>
      <c r="F572" s="109"/>
    </row>
    <row r="573" spans="1:6" s="87" customFormat="1" ht="33" x14ac:dyDescent="0.3">
      <c r="A573" s="106" t="s">
        <v>1953</v>
      </c>
      <c r="B573" s="107" t="s">
        <v>1954</v>
      </c>
      <c r="C573" s="106" t="s">
        <v>879</v>
      </c>
      <c r="D573" s="106" t="s">
        <v>1955</v>
      </c>
      <c r="E573" s="108">
        <v>1987</v>
      </c>
      <c r="F573" s="109"/>
    </row>
    <row r="574" spans="1:6" s="87" customFormat="1" ht="16.5" x14ac:dyDescent="0.3">
      <c r="A574" s="106" t="s">
        <v>1956</v>
      </c>
      <c r="B574" s="107" t="s">
        <v>1957</v>
      </c>
      <c r="C574" s="106"/>
      <c r="D574" s="106"/>
      <c r="E574" s="106"/>
      <c r="F574" s="109"/>
    </row>
    <row r="575" spans="1:6" s="87" customFormat="1" ht="16.5" x14ac:dyDescent="0.3">
      <c r="A575" s="106" t="s">
        <v>1958</v>
      </c>
      <c r="B575" s="107" t="s">
        <v>1959</v>
      </c>
      <c r="C575" s="106" t="s">
        <v>879</v>
      </c>
      <c r="D575" s="106" t="s">
        <v>929</v>
      </c>
      <c r="E575" s="108">
        <v>1987</v>
      </c>
      <c r="F575" s="109"/>
    </row>
    <row r="576" spans="1:6" s="87" customFormat="1" ht="16.5" x14ac:dyDescent="0.3">
      <c r="A576" s="106" t="s">
        <v>1960</v>
      </c>
      <c r="B576" s="107" t="s">
        <v>1961</v>
      </c>
      <c r="C576" s="108">
        <v>3</v>
      </c>
      <c r="D576" s="108">
        <v>69</v>
      </c>
      <c r="E576" s="108">
        <v>1997</v>
      </c>
      <c r="F576" s="109"/>
    </row>
    <row r="577" spans="1:6" s="87" customFormat="1" ht="16.5" x14ac:dyDescent="0.3">
      <c r="A577" s="106" t="s">
        <v>1962</v>
      </c>
      <c r="B577" s="107" t="s">
        <v>1963</v>
      </c>
      <c r="C577" s="108">
        <v>3</v>
      </c>
      <c r="D577" s="108">
        <v>66</v>
      </c>
      <c r="E577" s="108">
        <v>1996</v>
      </c>
      <c r="F577" s="109"/>
    </row>
    <row r="578" spans="1:6" s="87" customFormat="1" ht="16.5" x14ac:dyDescent="0.3">
      <c r="A578" s="106" t="s">
        <v>1964</v>
      </c>
      <c r="B578" s="107" t="s">
        <v>1965</v>
      </c>
      <c r="C578" s="106" t="s">
        <v>879</v>
      </c>
      <c r="D578" s="106" t="s">
        <v>1239</v>
      </c>
      <c r="E578" s="108">
        <v>1987</v>
      </c>
      <c r="F578" s="109"/>
    </row>
    <row r="579" spans="1:6" s="87" customFormat="1" ht="16.5" x14ac:dyDescent="0.3">
      <c r="A579" s="106" t="s">
        <v>1966</v>
      </c>
      <c r="B579" s="107" t="s">
        <v>1967</v>
      </c>
      <c r="C579" s="106" t="s">
        <v>879</v>
      </c>
      <c r="D579" s="106" t="s">
        <v>1256</v>
      </c>
      <c r="E579" s="108">
        <v>1999</v>
      </c>
      <c r="F579" s="109"/>
    </row>
    <row r="580" spans="1:6" s="87" customFormat="1" ht="16.5" x14ac:dyDescent="0.3">
      <c r="A580" s="106" t="s">
        <v>1968</v>
      </c>
      <c r="B580" s="107" t="s">
        <v>1969</v>
      </c>
      <c r="C580" s="108">
        <v>3</v>
      </c>
      <c r="D580" s="106" t="s">
        <v>1196</v>
      </c>
      <c r="E580" s="108">
        <v>1987</v>
      </c>
      <c r="F580" s="109"/>
    </row>
    <row r="581" spans="1:6" s="87" customFormat="1" ht="16.5" x14ac:dyDescent="0.3">
      <c r="A581" s="106" t="s">
        <v>1970</v>
      </c>
      <c r="B581" s="107" t="s">
        <v>1971</v>
      </c>
      <c r="C581" s="106" t="s">
        <v>879</v>
      </c>
      <c r="D581" s="108">
        <v>63</v>
      </c>
      <c r="E581" s="108">
        <v>1995</v>
      </c>
      <c r="F581" s="109"/>
    </row>
    <row r="582" spans="1:6" s="87" customFormat="1" ht="66" x14ac:dyDescent="0.3">
      <c r="A582" s="106" t="s">
        <v>1972</v>
      </c>
      <c r="B582" s="107" t="s">
        <v>1973</v>
      </c>
      <c r="C582" s="106" t="s">
        <v>906</v>
      </c>
      <c r="D582" s="106" t="s">
        <v>1526</v>
      </c>
      <c r="E582" s="108">
        <v>2010</v>
      </c>
      <c r="F582" s="109" t="s">
        <v>1291</v>
      </c>
    </row>
    <row r="583" spans="1:6" s="87" customFormat="1" ht="16.5" x14ac:dyDescent="0.3">
      <c r="A583" s="106" t="s">
        <v>1974</v>
      </c>
      <c r="B583" s="107" t="s">
        <v>1975</v>
      </c>
      <c r="C583" s="108">
        <v>3</v>
      </c>
      <c r="D583" s="106" t="s">
        <v>1450</v>
      </c>
      <c r="E583" s="108">
        <v>1987</v>
      </c>
      <c r="F583" s="109"/>
    </row>
    <row r="584" spans="1:6" s="87" customFormat="1" ht="16.5" x14ac:dyDescent="0.3">
      <c r="A584" s="106" t="s">
        <v>1976</v>
      </c>
      <c r="B584" s="107" t="s">
        <v>1977</v>
      </c>
      <c r="C584" s="108">
        <v>3</v>
      </c>
      <c r="D584" s="106" t="s">
        <v>1239</v>
      </c>
      <c r="E584" s="108">
        <v>1987</v>
      </c>
      <c r="F584" s="109"/>
    </row>
    <row r="585" spans="1:6" s="87" customFormat="1" ht="16.5" x14ac:dyDescent="0.3">
      <c r="A585" s="106" t="s">
        <v>1978</v>
      </c>
      <c r="B585" s="107" t="s">
        <v>1979</v>
      </c>
      <c r="C585" s="106" t="s">
        <v>879</v>
      </c>
      <c r="D585" s="108">
        <v>57</v>
      </c>
      <c r="E585" s="108">
        <v>1993</v>
      </c>
      <c r="F585" s="109"/>
    </row>
    <row r="586" spans="1:6" s="87" customFormat="1" ht="16.5" x14ac:dyDescent="0.3">
      <c r="A586" s="106" t="s">
        <v>1980</v>
      </c>
      <c r="B586" s="107" t="s">
        <v>1981</v>
      </c>
      <c r="C586" s="108">
        <v>3</v>
      </c>
      <c r="D586" s="108">
        <v>48</v>
      </c>
      <c r="E586" s="108">
        <v>1990</v>
      </c>
      <c r="F586" s="109"/>
    </row>
    <row r="587" spans="1:6" s="87" customFormat="1" ht="16.5" x14ac:dyDescent="0.3">
      <c r="A587" s="106" t="s">
        <v>1982</v>
      </c>
      <c r="B587" s="107" t="s">
        <v>1983</v>
      </c>
      <c r="C587" s="108">
        <v>3</v>
      </c>
      <c r="D587" s="106" t="s">
        <v>1222</v>
      </c>
      <c r="E587" s="108">
        <v>1999</v>
      </c>
      <c r="F587" s="109"/>
    </row>
    <row r="588" spans="1:6" s="87" customFormat="1" ht="16.5" x14ac:dyDescent="0.3">
      <c r="A588" s="106" t="s">
        <v>1984</v>
      </c>
      <c r="B588" s="107" t="s">
        <v>1985</v>
      </c>
      <c r="C588" s="106" t="s">
        <v>879</v>
      </c>
      <c r="D588" s="108">
        <v>129</v>
      </c>
      <c r="E588" s="106" t="s">
        <v>1474</v>
      </c>
      <c r="F588" s="109"/>
    </row>
    <row r="589" spans="1:6" s="87" customFormat="1" ht="16.5" x14ac:dyDescent="0.3">
      <c r="A589" s="106" t="s">
        <v>1986</v>
      </c>
      <c r="B589" s="107" t="s">
        <v>1987</v>
      </c>
      <c r="C589" s="106" t="s">
        <v>879</v>
      </c>
      <c r="D589" s="106" t="s">
        <v>1280</v>
      </c>
      <c r="E589" s="108">
        <v>1987</v>
      </c>
      <c r="F589" s="109"/>
    </row>
    <row r="590" spans="1:6" s="87" customFormat="1" ht="16.5" x14ac:dyDescent="0.3">
      <c r="A590" s="106" t="s">
        <v>1988</v>
      </c>
      <c r="B590" s="107" t="s">
        <v>1989</v>
      </c>
      <c r="C590" s="108">
        <v>3</v>
      </c>
      <c r="D590" s="108">
        <v>57</v>
      </c>
      <c r="E590" s="108">
        <v>1993</v>
      </c>
      <c r="F590" s="109"/>
    </row>
    <row r="591" spans="1:6" s="87" customFormat="1" ht="16.5" x14ac:dyDescent="0.3">
      <c r="A591" s="106" t="s">
        <v>1990</v>
      </c>
      <c r="B591" s="107" t="s">
        <v>1991</v>
      </c>
      <c r="C591" s="108">
        <v>3</v>
      </c>
      <c r="D591" s="108">
        <v>50</v>
      </c>
      <c r="E591" s="108">
        <v>1990</v>
      </c>
      <c r="F591" s="109"/>
    </row>
    <row r="592" spans="1:6" s="87" customFormat="1" ht="16.5" x14ac:dyDescent="0.3">
      <c r="A592" s="106" t="s">
        <v>1992</v>
      </c>
      <c r="B592" s="107" t="s">
        <v>1993</v>
      </c>
      <c r="C592" s="108">
        <v>3</v>
      </c>
      <c r="D592" s="106" t="s">
        <v>1188</v>
      </c>
      <c r="E592" s="108">
        <v>1987</v>
      </c>
      <c r="F592" s="109"/>
    </row>
    <row r="593" spans="1:6" s="87" customFormat="1" ht="16.5" x14ac:dyDescent="0.3">
      <c r="A593" s="106" t="s">
        <v>1994</v>
      </c>
      <c r="B593" s="107" t="s">
        <v>1995</v>
      </c>
      <c r="C593" s="108">
        <v>3</v>
      </c>
      <c r="D593" s="108">
        <v>66</v>
      </c>
      <c r="E593" s="108">
        <v>1996</v>
      </c>
      <c r="F593" s="109"/>
    </row>
    <row r="594" spans="1:6" s="87" customFormat="1" ht="16.5" x14ac:dyDescent="0.3">
      <c r="A594" s="106" t="s">
        <v>1996</v>
      </c>
      <c r="B594" s="107" t="s">
        <v>1997</v>
      </c>
      <c r="C594" s="106" t="s">
        <v>879</v>
      </c>
      <c r="D594" s="106" t="s">
        <v>1998</v>
      </c>
      <c r="E594" s="108">
        <v>1999</v>
      </c>
      <c r="F594" s="109"/>
    </row>
    <row r="595" spans="1:6" s="87" customFormat="1" ht="66" x14ac:dyDescent="0.3">
      <c r="A595" s="106" t="s">
        <v>1999</v>
      </c>
      <c r="B595" s="107" t="s">
        <v>2000</v>
      </c>
      <c r="C595" s="106" t="s">
        <v>906</v>
      </c>
      <c r="D595" s="108">
        <v>76</v>
      </c>
      <c r="E595" s="108">
        <v>2000</v>
      </c>
      <c r="F595" s="109" t="s">
        <v>1291</v>
      </c>
    </row>
    <row r="596" spans="1:6" s="87" customFormat="1" ht="16.5" x14ac:dyDescent="0.3">
      <c r="A596" s="106" t="s">
        <v>2001</v>
      </c>
      <c r="B596" s="107" t="s">
        <v>2002</v>
      </c>
      <c r="C596" s="108">
        <v>3</v>
      </c>
      <c r="D596" s="106" t="s">
        <v>1390</v>
      </c>
      <c r="E596" s="108">
        <v>1987</v>
      </c>
      <c r="F596" s="109"/>
    </row>
    <row r="597" spans="1:6" s="87" customFormat="1" ht="33" x14ac:dyDescent="0.3">
      <c r="A597" s="106" t="s">
        <v>2003</v>
      </c>
      <c r="B597" s="107" t="s">
        <v>2004</v>
      </c>
      <c r="C597" s="108">
        <v>1</v>
      </c>
      <c r="D597" s="106" t="s">
        <v>2005</v>
      </c>
      <c r="E597" s="108">
        <v>2012</v>
      </c>
      <c r="F597" s="109"/>
    </row>
    <row r="598" spans="1:6" s="87" customFormat="1" ht="16.5" x14ac:dyDescent="0.3">
      <c r="A598" s="106" t="s">
        <v>2006</v>
      </c>
      <c r="B598" s="107" t="s">
        <v>2007</v>
      </c>
      <c r="C598" s="108">
        <v>1</v>
      </c>
      <c r="D598" s="106" t="s">
        <v>2008</v>
      </c>
      <c r="E598" s="108">
        <v>2012</v>
      </c>
      <c r="F598" s="109"/>
    </row>
    <row r="599" spans="1:6" s="87" customFormat="1" ht="16.5" x14ac:dyDescent="0.2">
      <c r="A599" s="106" t="s">
        <v>2009</v>
      </c>
      <c r="B599" s="107" t="s">
        <v>2010</v>
      </c>
      <c r="C599" s="108">
        <v>3</v>
      </c>
      <c r="D599" s="108">
        <v>66</v>
      </c>
      <c r="E599" s="108">
        <v>1996</v>
      </c>
      <c r="F599" s="111"/>
    </row>
    <row r="600" spans="1:6" s="87" customFormat="1" ht="16.5" x14ac:dyDescent="0.2">
      <c r="A600" s="106" t="s">
        <v>2011</v>
      </c>
      <c r="B600" s="107" t="s">
        <v>2012</v>
      </c>
      <c r="C600" s="108">
        <v>3</v>
      </c>
      <c r="D600" s="106" t="s">
        <v>1314</v>
      </c>
      <c r="E600" s="108">
        <v>1999</v>
      </c>
      <c r="F600" s="111"/>
    </row>
    <row r="601" spans="1:6" s="87" customFormat="1" ht="16.5" x14ac:dyDescent="0.2">
      <c r="A601" s="106" t="s">
        <v>2013</v>
      </c>
      <c r="B601" s="107" t="s">
        <v>2014</v>
      </c>
      <c r="C601" s="106" t="s">
        <v>906</v>
      </c>
      <c r="D601" s="106" t="s">
        <v>2015</v>
      </c>
      <c r="E601" s="108">
        <v>2018</v>
      </c>
      <c r="F601" s="111"/>
    </row>
    <row r="602" spans="1:6" s="87" customFormat="1" ht="16.5" x14ac:dyDescent="0.2">
      <c r="A602" s="106" t="s">
        <v>2016</v>
      </c>
      <c r="B602" s="107" t="s">
        <v>2017</v>
      </c>
      <c r="C602" s="106" t="s">
        <v>906</v>
      </c>
      <c r="D602" s="106" t="s">
        <v>2018</v>
      </c>
      <c r="E602" s="108">
        <v>2014</v>
      </c>
      <c r="F602" s="111"/>
    </row>
    <row r="603" spans="1:6" s="87" customFormat="1" ht="16.5" x14ac:dyDescent="0.2">
      <c r="A603" s="106" t="s">
        <v>2019</v>
      </c>
      <c r="B603" s="107" t="s">
        <v>2020</v>
      </c>
      <c r="C603" s="106" t="s">
        <v>879</v>
      </c>
      <c r="D603" s="106" t="s">
        <v>1196</v>
      </c>
      <c r="E603" s="108">
        <v>1987</v>
      </c>
      <c r="F603" s="111"/>
    </row>
    <row r="604" spans="1:6" s="87" customFormat="1" ht="16.5" x14ac:dyDescent="0.2">
      <c r="A604" s="106" t="s">
        <v>2021</v>
      </c>
      <c r="B604" s="107" t="s">
        <v>2022</v>
      </c>
      <c r="C604" s="106" t="s">
        <v>879</v>
      </c>
      <c r="D604" s="106" t="s">
        <v>883</v>
      </c>
      <c r="E604" s="108">
        <v>1993</v>
      </c>
      <c r="F604" s="111"/>
    </row>
    <row r="605" spans="1:6" s="87" customFormat="1" ht="16.5" x14ac:dyDescent="0.2">
      <c r="A605" s="106" t="s">
        <v>2023</v>
      </c>
      <c r="B605" s="107" t="s">
        <v>2024</v>
      </c>
      <c r="C605" s="108">
        <v>3</v>
      </c>
      <c r="D605" s="106" t="s">
        <v>1188</v>
      </c>
      <c r="E605" s="108">
        <v>1987</v>
      </c>
      <c r="F605" s="111"/>
    </row>
    <row r="606" spans="1:6" s="87" customFormat="1" ht="16.5" x14ac:dyDescent="0.2">
      <c r="A606" s="106" t="s">
        <v>2025</v>
      </c>
      <c r="B606" s="107" t="s">
        <v>2026</v>
      </c>
      <c r="C606" s="108">
        <v>1</v>
      </c>
      <c r="D606" s="106" t="s">
        <v>2008</v>
      </c>
      <c r="E606" s="108">
        <v>2012</v>
      </c>
      <c r="F606" s="111"/>
    </row>
    <row r="607" spans="1:6" s="87" customFormat="1" ht="16.5" x14ac:dyDescent="0.2">
      <c r="A607" s="106" t="s">
        <v>2027</v>
      </c>
      <c r="B607" s="107" t="s">
        <v>2028</v>
      </c>
      <c r="C607" s="106" t="s">
        <v>879</v>
      </c>
      <c r="D607" s="108">
        <v>76</v>
      </c>
      <c r="E607" s="108">
        <v>2000</v>
      </c>
      <c r="F607" s="111"/>
    </row>
    <row r="608" spans="1:6" s="87" customFormat="1" ht="16.5" x14ac:dyDescent="0.2">
      <c r="A608" s="106" t="s">
        <v>2029</v>
      </c>
      <c r="B608" s="107" t="s">
        <v>2030</v>
      </c>
      <c r="C608" s="106" t="s">
        <v>879</v>
      </c>
      <c r="D608" s="106" t="s">
        <v>1290</v>
      </c>
      <c r="E608" s="108">
        <v>1999</v>
      </c>
      <c r="F608" s="111"/>
    </row>
    <row r="609" spans="1:6" s="87" customFormat="1" ht="16.5" x14ac:dyDescent="0.2">
      <c r="A609" s="106" t="s">
        <v>2031</v>
      </c>
      <c r="B609" s="107" t="s">
        <v>2032</v>
      </c>
      <c r="C609" s="106" t="s">
        <v>879</v>
      </c>
      <c r="D609" s="108">
        <v>111</v>
      </c>
      <c r="E609" s="108">
        <v>2017</v>
      </c>
      <c r="F609" s="111"/>
    </row>
    <row r="610" spans="1:6" s="87" customFormat="1" ht="16.5" x14ac:dyDescent="0.2">
      <c r="A610" s="106" t="s">
        <v>2031</v>
      </c>
      <c r="B610" s="107" t="s">
        <v>2033</v>
      </c>
      <c r="C610" s="108">
        <v>3</v>
      </c>
      <c r="D610" s="108">
        <v>111</v>
      </c>
      <c r="E610" s="108">
        <v>2017</v>
      </c>
      <c r="F610" s="111"/>
    </row>
    <row r="611" spans="1:6" s="87" customFormat="1" ht="16.5" x14ac:dyDescent="0.2">
      <c r="A611" s="106" t="s">
        <v>2031</v>
      </c>
      <c r="B611" s="107" t="s">
        <v>2034</v>
      </c>
      <c r="C611" s="108">
        <v>3</v>
      </c>
      <c r="D611" s="108">
        <v>111</v>
      </c>
      <c r="E611" s="108">
        <v>2017</v>
      </c>
      <c r="F611" s="111"/>
    </row>
    <row r="612" spans="1:6" s="87" customFormat="1" ht="33" x14ac:dyDescent="0.2">
      <c r="A612" s="106" t="s">
        <v>2031</v>
      </c>
      <c r="B612" s="107" t="s">
        <v>2035</v>
      </c>
      <c r="C612" s="106"/>
      <c r="D612" s="106"/>
      <c r="E612" s="106"/>
      <c r="F612" s="111"/>
    </row>
    <row r="613" spans="1:6" s="87" customFormat="1" ht="33" x14ac:dyDescent="0.2">
      <c r="A613" s="106" t="s">
        <v>2031</v>
      </c>
      <c r="B613" s="107" t="s">
        <v>2036</v>
      </c>
      <c r="C613" s="106"/>
      <c r="D613" s="106"/>
      <c r="E613" s="106"/>
      <c r="F613" s="111"/>
    </row>
    <row r="614" spans="1:6" s="87" customFormat="1" ht="33" x14ac:dyDescent="0.2">
      <c r="A614" s="106" t="s">
        <v>2031</v>
      </c>
      <c r="B614" s="107" t="s">
        <v>2037</v>
      </c>
      <c r="C614" s="106"/>
      <c r="D614" s="106"/>
      <c r="E614" s="106"/>
      <c r="F614" s="111"/>
    </row>
    <row r="615" spans="1:6" s="87" customFormat="1" ht="16.5" x14ac:dyDescent="0.3">
      <c r="A615" s="106" t="s">
        <v>2038</v>
      </c>
      <c r="B615" s="107" t="s">
        <v>2039</v>
      </c>
      <c r="C615" s="106" t="s">
        <v>879</v>
      </c>
      <c r="D615" s="108">
        <v>111</v>
      </c>
      <c r="E615" s="108">
        <v>2017</v>
      </c>
      <c r="F615" s="109"/>
    </row>
    <row r="616" spans="1:6" s="87" customFormat="1" ht="16.5" x14ac:dyDescent="0.3">
      <c r="A616" s="106" t="s">
        <v>2040</v>
      </c>
      <c r="B616" s="107" t="s">
        <v>2041</v>
      </c>
      <c r="C616" s="106"/>
      <c r="D616" s="106"/>
      <c r="E616" s="106"/>
      <c r="F616" s="109"/>
    </row>
    <row r="617" spans="1:6" s="87" customFormat="1" ht="16.5" x14ac:dyDescent="0.3">
      <c r="A617" s="106" t="s">
        <v>2042</v>
      </c>
      <c r="B617" s="107" t="s">
        <v>2043</v>
      </c>
      <c r="C617" s="108">
        <v>3</v>
      </c>
      <c r="D617" s="106" t="s">
        <v>1239</v>
      </c>
      <c r="E617" s="108">
        <v>1987</v>
      </c>
      <c r="F617" s="109"/>
    </row>
    <row r="618" spans="1:6" s="87" customFormat="1" ht="66" x14ac:dyDescent="0.3">
      <c r="A618" s="106" t="s">
        <v>2044</v>
      </c>
      <c r="B618" s="107" t="s">
        <v>2045</v>
      </c>
      <c r="C618" s="108">
        <v>1</v>
      </c>
      <c r="D618" s="106" t="s">
        <v>2046</v>
      </c>
      <c r="E618" s="108">
        <v>2012</v>
      </c>
      <c r="F618" s="109" t="s">
        <v>918</v>
      </c>
    </row>
    <row r="619" spans="1:6" s="87" customFormat="1" ht="16.5" x14ac:dyDescent="0.3">
      <c r="A619" s="106" t="s">
        <v>2044</v>
      </c>
      <c r="B619" s="107" t="s">
        <v>2047</v>
      </c>
      <c r="C619" s="108">
        <v>1</v>
      </c>
      <c r="D619" s="106" t="s">
        <v>2046</v>
      </c>
      <c r="E619" s="108">
        <v>2012</v>
      </c>
      <c r="F619" s="109"/>
    </row>
    <row r="620" spans="1:6" s="87" customFormat="1" ht="16.5" x14ac:dyDescent="0.3">
      <c r="A620" s="106" t="s">
        <v>2048</v>
      </c>
      <c r="B620" s="107" t="s">
        <v>2049</v>
      </c>
      <c r="C620" s="108">
        <v>3</v>
      </c>
      <c r="D620" s="106" t="s">
        <v>1239</v>
      </c>
      <c r="E620" s="108">
        <v>1987</v>
      </c>
      <c r="F620" s="109"/>
    </row>
    <row r="621" spans="1:6" s="87" customFormat="1" ht="16.5" x14ac:dyDescent="0.3">
      <c r="A621" s="106" t="s">
        <v>2050</v>
      </c>
      <c r="B621" s="107" t="s">
        <v>2051</v>
      </c>
      <c r="C621" s="108">
        <v>3</v>
      </c>
      <c r="D621" s="106" t="s">
        <v>1205</v>
      </c>
      <c r="E621" s="108">
        <v>1987</v>
      </c>
      <c r="F621" s="109"/>
    </row>
    <row r="622" spans="1:6" s="87" customFormat="1" ht="16.5" x14ac:dyDescent="0.3">
      <c r="A622" s="106" t="s">
        <v>2052</v>
      </c>
      <c r="B622" s="107" t="s">
        <v>2053</v>
      </c>
      <c r="C622" s="106" t="s">
        <v>879</v>
      </c>
      <c r="D622" s="106" t="s">
        <v>1196</v>
      </c>
      <c r="E622" s="108">
        <v>1987</v>
      </c>
      <c r="F622" s="109"/>
    </row>
    <row r="623" spans="1:6" s="87" customFormat="1" ht="16.5" x14ac:dyDescent="0.3">
      <c r="A623" s="106" t="s">
        <v>2054</v>
      </c>
      <c r="B623" s="107" t="s">
        <v>2055</v>
      </c>
      <c r="C623" s="108">
        <v>3</v>
      </c>
      <c r="D623" s="106" t="s">
        <v>1213</v>
      </c>
      <c r="E623" s="108">
        <v>1999</v>
      </c>
      <c r="F623" s="109"/>
    </row>
    <row r="624" spans="1:6" s="87" customFormat="1" ht="66" x14ac:dyDescent="0.3">
      <c r="A624" s="106" t="s">
        <v>2056</v>
      </c>
      <c r="B624" s="107" t="s">
        <v>2057</v>
      </c>
      <c r="C624" s="106" t="s">
        <v>906</v>
      </c>
      <c r="D624" s="108">
        <v>50</v>
      </c>
      <c r="E624" s="108">
        <v>1990</v>
      </c>
      <c r="F624" s="109" t="s">
        <v>1291</v>
      </c>
    </row>
    <row r="625" spans="1:6" s="87" customFormat="1" ht="16.5" x14ac:dyDescent="0.3">
      <c r="A625" s="106" t="s">
        <v>2058</v>
      </c>
      <c r="B625" s="107" t="s">
        <v>2059</v>
      </c>
      <c r="C625" s="106" t="s">
        <v>879</v>
      </c>
      <c r="D625" s="106" t="s">
        <v>2060</v>
      </c>
      <c r="E625" s="108">
        <v>2013</v>
      </c>
      <c r="F625" s="109"/>
    </row>
    <row r="626" spans="1:6" s="87" customFormat="1" ht="16.5" x14ac:dyDescent="0.3">
      <c r="A626" s="106" t="s">
        <v>2061</v>
      </c>
      <c r="B626" s="107" t="s">
        <v>2062</v>
      </c>
      <c r="C626" s="106" t="s">
        <v>879</v>
      </c>
      <c r="D626" s="108">
        <v>77</v>
      </c>
      <c r="E626" s="108">
        <v>2000</v>
      </c>
      <c r="F626" s="109"/>
    </row>
    <row r="627" spans="1:6" s="87" customFormat="1" ht="16.5" x14ac:dyDescent="0.3">
      <c r="A627" s="106" t="s">
        <v>2063</v>
      </c>
      <c r="B627" s="107" t="s">
        <v>2064</v>
      </c>
      <c r="C627" s="106" t="s">
        <v>879</v>
      </c>
      <c r="D627" s="108">
        <v>56</v>
      </c>
      <c r="E627" s="108">
        <v>1993</v>
      </c>
      <c r="F627" s="109"/>
    </row>
    <row r="628" spans="1:6" s="87" customFormat="1" ht="16.5" x14ac:dyDescent="0.3">
      <c r="A628" s="106" t="s">
        <v>2065</v>
      </c>
      <c r="B628" s="107" t="s">
        <v>2066</v>
      </c>
      <c r="C628" s="108">
        <v>3</v>
      </c>
      <c r="D628" s="108">
        <v>57</v>
      </c>
      <c r="E628" s="108">
        <v>1993</v>
      </c>
      <c r="F628" s="109"/>
    </row>
    <row r="629" spans="1:6" s="87" customFormat="1" ht="49.5" x14ac:dyDescent="0.3">
      <c r="A629" s="106" t="s">
        <v>2067</v>
      </c>
      <c r="B629" s="107" t="s">
        <v>2068</v>
      </c>
      <c r="C629" s="106" t="s">
        <v>906</v>
      </c>
      <c r="D629" s="108">
        <v>112</v>
      </c>
      <c r="E629" s="108">
        <v>2017</v>
      </c>
      <c r="F629" s="109" t="s">
        <v>2069</v>
      </c>
    </row>
    <row r="630" spans="1:6" s="87" customFormat="1" ht="16.5" x14ac:dyDescent="0.3">
      <c r="A630" s="106" t="s">
        <v>2070</v>
      </c>
      <c r="B630" s="107" t="s">
        <v>2071</v>
      </c>
      <c r="C630" s="108">
        <v>3</v>
      </c>
      <c r="D630" s="106" t="s">
        <v>1955</v>
      </c>
      <c r="E630" s="108">
        <v>1987</v>
      </c>
      <c r="F630" s="109"/>
    </row>
    <row r="631" spans="1:6" s="87" customFormat="1" ht="66" x14ac:dyDescent="0.3">
      <c r="A631" s="106" t="s">
        <v>2072</v>
      </c>
      <c r="B631" s="107" t="s">
        <v>2073</v>
      </c>
      <c r="C631" s="108">
        <v>1</v>
      </c>
      <c r="D631" s="106" t="s">
        <v>2074</v>
      </c>
      <c r="E631" s="108">
        <v>2012</v>
      </c>
      <c r="F631" s="109" t="s">
        <v>918</v>
      </c>
    </row>
    <row r="632" spans="1:6" s="87" customFormat="1" ht="49.5" x14ac:dyDescent="0.3">
      <c r="A632" s="106" t="s">
        <v>2075</v>
      </c>
      <c r="B632" s="107" t="s">
        <v>2076</v>
      </c>
      <c r="C632" s="108">
        <v>1</v>
      </c>
      <c r="D632" s="106" t="s">
        <v>2074</v>
      </c>
      <c r="E632" s="108">
        <v>2012</v>
      </c>
      <c r="F632" s="109"/>
    </row>
    <row r="633" spans="1:6" s="87" customFormat="1" ht="16.5" x14ac:dyDescent="0.3">
      <c r="A633" s="106" t="s">
        <v>2077</v>
      </c>
      <c r="B633" s="107" t="s">
        <v>2078</v>
      </c>
      <c r="C633" s="106" t="s">
        <v>879</v>
      </c>
      <c r="D633" s="108">
        <v>110</v>
      </c>
      <c r="E633" s="108">
        <v>2017</v>
      </c>
      <c r="F633" s="109"/>
    </row>
    <row r="634" spans="1:6" s="87" customFormat="1" ht="16.5" x14ac:dyDescent="0.3">
      <c r="A634" s="106" t="s">
        <v>2079</v>
      </c>
      <c r="B634" s="107" t="s">
        <v>2080</v>
      </c>
      <c r="C634" s="108">
        <v>3</v>
      </c>
      <c r="D634" s="106" t="s">
        <v>1526</v>
      </c>
      <c r="E634" s="108">
        <v>2010</v>
      </c>
      <c r="F634" s="109"/>
    </row>
    <row r="635" spans="1:6" s="87" customFormat="1" ht="16.5" x14ac:dyDescent="0.3">
      <c r="A635" s="106" t="s">
        <v>2081</v>
      </c>
      <c r="B635" s="107" t="s">
        <v>2082</v>
      </c>
      <c r="C635" s="108">
        <v>3</v>
      </c>
      <c r="D635" s="106" t="s">
        <v>1526</v>
      </c>
      <c r="E635" s="108">
        <v>2010</v>
      </c>
      <c r="F635" s="109"/>
    </row>
    <row r="636" spans="1:6" s="87" customFormat="1" ht="16.5" x14ac:dyDescent="0.3">
      <c r="A636" s="106" t="s">
        <v>2083</v>
      </c>
      <c r="B636" s="107" t="s">
        <v>2084</v>
      </c>
      <c r="C636" s="108">
        <v>3</v>
      </c>
      <c r="D636" s="106" t="s">
        <v>1526</v>
      </c>
      <c r="E636" s="108">
        <v>2010</v>
      </c>
      <c r="F636" s="109"/>
    </row>
    <row r="637" spans="1:6" s="87" customFormat="1" ht="16.5" x14ac:dyDescent="0.3">
      <c r="A637" s="106" t="s">
        <v>2085</v>
      </c>
      <c r="B637" s="107" t="s">
        <v>2086</v>
      </c>
      <c r="C637" s="108">
        <v>3</v>
      </c>
      <c r="D637" s="106" t="s">
        <v>1526</v>
      </c>
      <c r="E637" s="108">
        <v>2010</v>
      </c>
      <c r="F637" s="109"/>
    </row>
    <row r="638" spans="1:6" s="87" customFormat="1" ht="16.5" x14ac:dyDescent="0.3">
      <c r="A638" s="106" t="s">
        <v>2087</v>
      </c>
      <c r="B638" s="107" t="s">
        <v>2088</v>
      </c>
      <c r="C638" s="108">
        <v>3</v>
      </c>
      <c r="D638" s="106" t="s">
        <v>1526</v>
      </c>
      <c r="E638" s="108">
        <v>2010</v>
      </c>
      <c r="F638" s="109"/>
    </row>
    <row r="639" spans="1:6" s="87" customFormat="1" ht="16.5" x14ac:dyDescent="0.3">
      <c r="A639" s="106" t="s">
        <v>2089</v>
      </c>
      <c r="B639" s="107" t="s">
        <v>2090</v>
      </c>
      <c r="C639" s="106" t="s">
        <v>879</v>
      </c>
      <c r="D639" s="106" t="s">
        <v>1239</v>
      </c>
      <c r="E639" s="108">
        <v>1987</v>
      </c>
      <c r="F639" s="109"/>
    </row>
    <row r="640" spans="1:6" s="87" customFormat="1" ht="16.5" x14ac:dyDescent="0.3">
      <c r="A640" s="106" t="s">
        <v>2091</v>
      </c>
      <c r="B640" s="107" t="s">
        <v>2092</v>
      </c>
      <c r="C640" s="108">
        <v>3</v>
      </c>
      <c r="D640" s="106" t="s">
        <v>1239</v>
      </c>
      <c r="E640" s="108">
        <v>1987</v>
      </c>
      <c r="F640" s="109"/>
    </row>
    <row r="641" spans="1:6" s="87" customFormat="1" ht="16.5" x14ac:dyDescent="0.3">
      <c r="A641" s="106" t="s">
        <v>2093</v>
      </c>
      <c r="B641" s="107" t="s">
        <v>2094</v>
      </c>
      <c r="C641" s="106" t="s">
        <v>879</v>
      </c>
      <c r="D641" s="106" t="s">
        <v>1955</v>
      </c>
      <c r="E641" s="108">
        <v>1987</v>
      </c>
      <c r="F641" s="109"/>
    </row>
    <row r="642" spans="1:6" s="87" customFormat="1" ht="66" x14ac:dyDescent="0.3">
      <c r="A642" s="106" t="s">
        <v>2095</v>
      </c>
      <c r="B642" s="107" t="s">
        <v>2096</v>
      </c>
      <c r="C642" s="106" t="s">
        <v>906</v>
      </c>
      <c r="D642" s="106" t="s">
        <v>1361</v>
      </c>
      <c r="E642" s="108">
        <v>1987</v>
      </c>
      <c r="F642" s="109" t="s">
        <v>1291</v>
      </c>
    </row>
    <row r="643" spans="1:6" s="87" customFormat="1" ht="16.5" x14ac:dyDescent="0.3">
      <c r="A643" s="106" t="s">
        <v>2097</v>
      </c>
      <c r="B643" s="107" t="s">
        <v>2098</v>
      </c>
      <c r="C643" s="106" t="s">
        <v>879</v>
      </c>
      <c r="D643" s="106" t="s">
        <v>1450</v>
      </c>
      <c r="E643" s="108">
        <v>1987</v>
      </c>
      <c r="F643" s="109"/>
    </row>
    <row r="644" spans="1:6" s="87" customFormat="1" ht="16.5" x14ac:dyDescent="0.3">
      <c r="A644" s="106" t="s">
        <v>2099</v>
      </c>
      <c r="B644" s="107" t="s">
        <v>2100</v>
      </c>
      <c r="C644" s="106" t="s">
        <v>879</v>
      </c>
      <c r="D644" s="106" t="s">
        <v>1526</v>
      </c>
      <c r="E644" s="108">
        <v>2010</v>
      </c>
      <c r="F644" s="109"/>
    </row>
    <row r="645" spans="1:6" s="87" customFormat="1" ht="16.5" x14ac:dyDescent="0.3">
      <c r="A645" s="106" t="s">
        <v>2101</v>
      </c>
      <c r="B645" s="107" t="s">
        <v>2102</v>
      </c>
      <c r="C645" s="106" t="s">
        <v>879</v>
      </c>
      <c r="D645" s="108">
        <v>108</v>
      </c>
      <c r="E645" s="108">
        <v>2016</v>
      </c>
      <c r="F645" s="109"/>
    </row>
    <row r="646" spans="1:6" s="87" customFormat="1" ht="16.5" x14ac:dyDescent="0.3">
      <c r="A646" s="106" t="s">
        <v>2103</v>
      </c>
      <c r="B646" s="107" t="s">
        <v>2104</v>
      </c>
      <c r="C646" s="106" t="s">
        <v>879</v>
      </c>
      <c r="D646" s="106" t="s">
        <v>1239</v>
      </c>
      <c r="E646" s="108">
        <v>1987</v>
      </c>
      <c r="F646" s="109"/>
    </row>
    <row r="647" spans="1:6" s="87" customFormat="1" ht="16.5" x14ac:dyDescent="0.2">
      <c r="A647" s="106" t="s">
        <v>2105</v>
      </c>
      <c r="B647" s="107" t="s">
        <v>2106</v>
      </c>
      <c r="C647" s="108">
        <v>3</v>
      </c>
      <c r="D647" s="106" t="s">
        <v>2107</v>
      </c>
      <c r="E647" s="108">
        <v>2007</v>
      </c>
      <c r="F647" s="111"/>
    </row>
    <row r="648" spans="1:6" s="87" customFormat="1" ht="16.5" x14ac:dyDescent="0.2">
      <c r="A648" s="106" t="s">
        <v>2108</v>
      </c>
      <c r="B648" s="107" t="s">
        <v>2109</v>
      </c>
      <c r="C648" s="106" t="s">
        <v>879</v>
      </c>
      <c r="D648" s="106" t="s">
        <v>1119</v>
      </c>
      <c r="E648" s="108">
        <v>1987</v>
      </c>
      <c r="F648" s="111"/>
    </row>
    <row r="649" spans="1:6" s="87" customFormat="1" ht="16.5" x14ac:dyDescent="0.2">
      <c r="A649" s="106" t="s">
        <v>2110</v>
      </c>
      <c r="B649" s="107" t="s">
        <v>2111</v>
      </c>
      <c r="C649" s="108">
        <v>3</v>
      </c>
      <c r="D649" s="106" t="s">
        <v>1361</v>
      </c>
      <c r="E649" s="108">
        <v>1987</v>
      </c>
      <c r="F649" s="111"/>
    </row>
    <row r="650" spans="1:6" s="87" customFormat="1" ht="33" x14ac:dyDescent="0.2">
      <c r="A650" s="106" t="s">
        <v>2112</v>
      </c>
      <c r="B650" s="107" t="s">
        <v>2113</v>
      </c>
      <c r="C650" s="106" t="s">
        <v>879</v>
      </c>
      <c r="D650" s="106" t="s">
        <v>1955</v>
      </c>
      <c r="E650" s="108">
        <v>1987</v>
      </c>
      <c r="F650" s="111"/>
    </row>
    <row r="651" spans="1:6" s="87" customFormat="1" ht="16.5" x14ac:dyDescent="0.2">
      <c r="A651" s="106" t="s">
        <v>2114</v>
      </c>
      <c r="B651" s="107" t="s">
        <v>2115</v>
      </c>
      <c r="C651" s="108">
        <v>3</v>
      </c>
      <c r="D651" s="106" t="s">
        <v>1280</v>
      </c>
      <c r="E651" s="108">
        <v>1987</v>
      </c>
      <c r="F651" s="111"/>
    </row>
    <row r="652" spans="1:6" s="87" customFormat="1" ht="16.5" x14ac:dyDescent="0.2">
      <c r="A652" s="106" t="s">
        <v>2116</v>
      </c>
      <c r="B652" s="107" t="s">
        <v>2117</v>
      </c>
      <c r="C652" s="108">
        <v>3</v>
      </c>
      <c r="D652" s="106" t="s">
        <v>1041</v>
      </c>
      <c r="E652" s="108">
        <v>1999</v>
      </c>
      <c r="F652" s="111"/>
    </row>
    <row r="653" spans="1:6" s="87" customFormat="1" ht="16.5" x14ac:dyDescent="0.2">
      <c r="A653" s="106" t="s">
        <v>2118</v>
      </c>
      <c r="B653" s="107" t="s">
        <v>2119</v>
      </c>
      <c r="C653" s="108">
        <v>3</v>
      </c>
      <c r="D653" s="106" t="s">
        <v>929</v>
      </c>
      <c r="E653" s="108">
        <v>1987</v>
      </c>
      <c r="F653" s="111"/>
    </row>
    <row r="654" spans="1:6" s="87" customFormat="1" ht="16.5" x14ac:dyDescent="0.2">
      <c r="A654" s="106" t="s">
        <v>2120</v>
      </c>
      <c r="B654" s="107" t="s">
        <v>2121</v>
      </c>
      <c r="C654" s="106" t="s">
        <v>879</v>
      </c>
      <c r="D654" s="108">
        <v>108</v>
      </c>
      <c r="E654" s="108">
        <v>2016</v>
      </c>
      <c r="F654" s="111"/>
    </row>
    <row r="655" spans="1:6" s="87" customFormat="1" ht="16.5" x14ac:dyDescent="0.2">
      <c r="A655" s="106" t="s">
        <v>2122</v>
      </c>
      <c r="B655" s="107" t="s">
        <v>2123</v>
      </c>
      <c r="C655" s="108">
        <v>3</v>
      </c>
      <c r="D655" s="106" t="s">
        <v>907</v>
      </c>
      <c r="E655" s="108">
        <v>1987</v>
      </c>
      <c r="F655" s="111"/>
    </row>
    <row r="656" spans="1:6" s="87" customFormat="1" ht="16.5" x14ac:dyDescent="0.2">
      <c r="A656" s="106" t="s">
        <v>2124</v>
      </c>
      <c r="B656" s="107" t="s">
        <v>2125</v>
      </c>
      <c r="C656" s="108">
        <v>3</v>
      </c>
      <c r="D656" s="108">
        <v>66</v>
      </c>
      <c r="E656" s="108">
        <v>1996</v>
      </c>
      <c r="F656" s="111"/>
    </row>
    <row r="657" spans="1:6" s="87" customFormat="1" ht="16.5" x14ac:dyDescent="0.2">
      <c r="A657" s="106" t="s">
        <v>2126</v>
      </c>
      <c r="B657" s="107" t="s">
        <v>2127</v>
      </c>
      <c r="C657" s="106" t="s">
        <v>906</v>
      </c>
      <c r="D657" s="108">
        <v>111</v>
      </c>
      <c r="E657" s="108">
        <v>2017</v>
      </c>
      <c r="F657" s="111"/>
    </row>
    <row r="658" spans="1:6" s="87" customFormat="1" ht="16.5" x14ac:dyDescent="0.2">
      <c r="A658" s="106" t="s">
        <v>2128</v>
      </c>
      <c r="B658" s="107" t="s">
        <v>2129</v>
      </c>
      <c r="C658" s="106" t="s">
        <v>879</v>
      </c>
      <c r="D658" s="106" t="s">
        <v>2130</v>
      </c>
      <c r="E658" s="106" t="s">
        <v>911</v>
      </c>
      <c r="F658" s="111"/>
    </row>
    <row r="659" spans="1:6" s="87" customFormat="1" ht="16.5" x14ac:dyDescent="0.2">
      <c r="A659" s="106" t="s">
        <v>2131</v>
      </c>
      <c r="B659" s="107" t="s">
        <v>2132</v>
      </c>
      <c r="C659" s="108">
        <v>3</v>
      </c>
      <c r="D659" s="106" t="s">
        <v>904</v>
      </c>
      <c r="E659" s="108">
        <v>1987</v>
      </c>
      <c r="F659" s="111"/>
    </row>
    <row r="660" spans="1:6" s="87" customFormat="1" ht="16.5" x14ac:dyDescent="0.2">
      <c r="A660" s="106" t="s">
        <v>2133</v>
      </c>
      <c r="B660" s="107" t="s">
        <v>2134</v>
      </c>
      <c r="C660" s="106" t="s">
        <v>879</v>
      </c>
      <c r="D660" s="106" t="s">
        <v>964</v>
      </c>
      <c r="E660" s="108">
        <v>2014</v>
      </c>
      <c r="F660" s="111"/>
    </row>
    <row r="661" spans="1:6" s="87" customFormat="1" ht="16.5" x14ac:dyDescent="0.2">
      <c r="A661" s="106" t="s">
        <v>2135</v>
      </c>
      <c r="B661" s="107" t="s">
        <v>2136</v>
      </c>
      <c r="C661" s="106" t="s">
        <v>879</v>
      </c>
      <c r="D661" s="106" t="s">
        <v>2137</v>
      </c>
      <c r="E661" s="108">
        <v>2014</v>
      </c>
      <c r="F661" s="111"/>
    </row>
    <row r="662" spans="1:6" s="87" customFormat="1" ht="16.5" x14ac:dyDescent="0.2">
      <c r="A662" s="106" t="s">
        <v>2138</v>
      </c>
      <c r="B662" s="107" t="s">
        <v>2139</v>
      </c>
      <c r="C662" s="106" t="s">
        <v>879</v>
      </c>
      <c r="D662" s="106" t="s">
        <v>1361</v>
      </c>
      <c r="E662" s="108">
        <v>1987</v>
      </c>
      <c r="F662" s="111"/>
    </row>
    <row r="663" spans="1:6" s="87" customFormat="1" ht="16.5" x14ac:dyDescent="0.3">
      <c r="A663" s="106" t="s">
        <v>2140</v>
      </c>
      <c r="B663" s="107" t="s">
        <v>2141</v>
      </c>
      <c r="C663" s="108">
        <v>3</v>
      </c>
      <c r="D663" s="106" t="s">
        <v>2142</v>
      </c>
      <c r="E663" s="108">
        <v>1996</v>
      </c>
      <c r="F663" s="109"/>
    </row>
    <row r="664" spans="1:6" s="87" customFormat="1" ht="16.5" x14ac:dyDescent="0.3">
      <c r="A664" s="106" t="s">
        <v>2143</v>
      </c>
      <c r="B664" s="107" t="s">
        <v>2144</v>
      </c>
      <c r="C664" s="106" t="s">
        <v>879</v>
      </c>
      <c r="D664" s="106" t="s">
        <v>1468</v>
      </c>
      <c r="E664" s="108">
        <v>1987</v>
      </c>
      <c r="F664" s="109"/>
    </row>
    <row r="665" spans="1:6" s="87" customFormat="1" ht="16.5" x14ac:dyDescent="0.3">
      <c r="A665" s="106" t="s">
        <v>2145</v>
      </c>
      <c r="B665" s="107" t="s">
        <v>2146</v>
      </c>
      <c r="C665" s="108">
        <v>1</v>
      </c>
      <c r="D665" s="106" t="s">
        <v>2008</v>
      </c>
      <c r="E665" s="108">
        <v>2012</v>
      </c>
      <c r="F665" s="109"/>
    </row>
    <row r="666" spans="1:6" s="87" customFormat="1" ht="16.5" x14ac:dyDescent="0.3">
      <c r="A666" s="106" t="s">
        <v>2147</v>
      </c>
      <c r="B666" s="107" t="s">
        <v>2148</v>
      </c>
      <c r="C666" s="108">
        <v>3</v>
      </c>
      <c r="D666" s="106" t="s">
        <v>1239</v>
      </c>
      <c r="E666" s="108">
        <v>1987</v>
      </c>
      <c r="F666" s="109"/>
    </row>
    <row r="667" spans="1:6" s="87" customFormat="1" ht="16.5" x14ac:dyDescent="0.3">
      <c r="A667" s="106" t="s">
        <v>2149</v>
      </c>
      <c r="B667" s="107" t="s">
        <v>2150</v>
      </c>
      <c r="C667" s="106" t="s">
        <v>879</v>
      </c>
      <c r="D667" s="106" t="s">
        <v>1188</v>
      </c>
      <c r="E667" s="108">
        <v>1987</v>
      </c>
      <c r="F667" s="109"/>
    </row>
    <row r="668" spans="1:6" s="87" customFormat="1" ht="16.5" x14ac:dyDescent="0.3">
      <c r="A668" s="106" t="s">
        <v>2151</v>
      </c>
      <c r="B668" s="107" t="s">
        <v>2152</v>
      </c>
      <c r="C668" s="108">
        <v>3</v>
      </c>
      <c r="D668" s="106" t="s">
        <v>1280</v>
      </c>
      <c r="E668" s="108">
        <v>1987</v>
      </c>
      <c r="F668" s="109"/>
    </row>
    <row r="669" spans="1:6" s="87" customFormat="1" ht="16.5" x14ac:dyDescent="0.3">
      <c r="A669" s="106" t="s">
        <v>2153</v>
      </c>
      <c r="B669" s="107" t="s">
        <v>2154</v>
      </c>
      <c r="C669" s="108">
        <v>3</v>
      </c>
      <c r="D669" s="106" t="s">
        <v>1280</v>
      </c>
      <c r="E669" s="108">
        <v>1987</v>
      </c>
      <c r="F669" s="109"/>
    </row>
    <row r="670" spans="1:6" s="87" customFormat="1" ht="16.5" x14ac:dyDescent="0.3">
      <c r="A670" s="106" t="s">
        <v>2155</v>
      </c>
      <c r="B670" s="107" t="s">
        <v>2156</v>
      </c>
      <c r="C670" s="108">
        <v>3</v>
      </c>
      <c r="D670" s="106" t="s">
        <v>1196</v>
      </c>
      <c r="E670" s="108">
        <v>1987</v>
      </c>
      <c r="F670" s="109"/>
    </row>
    <row r="671" spans="1:6" s="87" customFormat="1" ht="16.5" x14ac:dyDescent="0.3">
      <c r="A671" s="106" t="s">
        <v>2157</v>
      </c>
      <c r="B671" s="107" t="s">
        <v>2158</v>
      </c>
      <c r="C671" s="108">
        <v>3</v>
      </c>
      <c r="D671" s="106" t="s">
        <v>1196</v>
      </c>
      <c r="E671" s="108">
        <v>1987</v>
      </c>
      <c r="F671" s="109"/>
    </row>
    <row r="672" spans="1:6" s="87" customFormat="1" ht="66" x14ac:dyDescent="0.3">
      <c r="A672" s="106" t="s">
        <v>2159</v>
      </c>
      <c r="B672" s="107" t="s">
        <v>2160</v>
      </c>
      <c r="C672" s="106" t="s">
        <v>906</v>
      </c>
      <c r="D672" s="106" t="s">
        <v>929</v>
      </c>
      <c r="E672" s="108">
        <v>1987</v>
      </c>
      <c r="F672" s="109" t="s">
        <v>1291</v>
      </c>
    </row>
    <row r="673" spans="1:6" s="87" customFormat="1" ht="16.5" x14ac:dyDescent="0.3">
      <c r="A673" s="106" t="s">
        <v>2161</v>
      </c>
      <c r="B673" s="107" t="s">
        <v>2162</v>
      </c>
      <c r="C673" s="108">
        <v>3</v>
      </c>
      <c r="D673" s="106" t="s">
        <v>1280</v>
      </c>
      <c r="E673" s="108">
        <v>1987</v>
      </c>
      <c r="F673" s="109"/>
    </row>
    <row r="674" spans="1:6" s="87" customFormat="1" ht="16.5" x14ac:dyDescent="0.3">
      <c r="A674" s="106" t="s">
        <v>2163</v>
      </c>
      <c r="B674" s="107" t="s">
        <v>2164</v>
      </c>
      <c r="C674" s="106" t="s">
        <v>879</v>
      </c>
      <c r="D674" s="106" t="s">
        <v>2165</v>
      </c>
      <c r="E674" s="108">
        <v>2012</v>
      </c>
      <c r="F674" s="109"/>
    </row>
    <row r="675" spans="1:6" s="87" customFormat="1" ht="16.5" x14ac:dyDescent="0.3">
      <c r="A675" s="106" t="s">
        <v>2166</v>
      </c>
      <c r="B675" s="107" t="s">
        <v>2167</v>
      </c>
      <c r="C675" s="108">
        <v>3</v>
      </c>
      <c r="D675" s="106" t="s">
        <v>1239</v>
      </c>
      <c r="E675" s="108">
        <v>1987</v>
      </c>
      <c r="F675" s="109"/>
    </row>
    <row r="676" spans="1:6" s="87" customFormat="1" ht="33" x14ac:dyDescent="0.3">
      <c r="A676" s="106" t="s">
        <v>2168</v>
      </c>
      <c r="B676" s="107" t="s">
        <v>2169</v>
      </c>
      <c r="C676" s="106"/>
      <c r="D676" s="106"/>
      <c r="E676" s="106"/>
      <c r="F676" s="109"/>
    </row>
    <row r="677" spans="1:6" s="87" customFormat="1" ht="16.5" x14ac:dyDescent="0.3">
      <c r="A677" s="106" t="s">
        <v>2168</v>
      </c>
      <c r="B677" s="107" t="s">
        <v>2170</v>
      </c>
      <c r="C677" s="108">
        <v>1</v>
      </c>
      <c r="D677" s="106" t="s">
        <v>2171</v>
      </c>
      <c r="E677" s="108">
        <v>2012</v>
      </c>
      <c r="F677" s="109"/>
    </row>
    <row r="678" spans="1:6" s="87" customFormat="1" ht="16.5" x14ac:dyDescent="0.3">
      <c r="A678" s="106" t="s">
        <v>2172</v>
      </c>
      <c r="B678" s="107" t="s">
        <v>2173</v>
      </c>
      <c r="C678" s="108">
        <v>3</v>
      </c>
      <c r="D678" s="106" t="s">
        <v>1280</v>
      </c>
      <c r="E678" s="108">
        <v>1987</v>
      </c>
      <c r="F678" s="109"/>
    </row>
    <row r="679" spans="1:6" s="87" customFormat="1" ht="16.5" x14ac:dyDescent="0.3">
      <c r="A679" s="106" t="s">
        <v>2174</v>
      </c>
      <c r="B679" s="107" t="s">
        <v>2175</v>
      </c>
      <c r="C679" s="108">
        <v>1</v>
      </c>
      <c r="D679" s="106" t="s">
        <v>2176</v>
      </c>
      <c r="E679" s="108">
        <v>2012</v>
      </c>
      <c r="F679" s="109"/>
    </row>
    <row r="680" spans="1:6" s="87" customFormat="1" ht="16.5" x14ac:dyDescent="0.3">
      <c r="A680" s="106" t="s">
        <v>2177</v>
      </c>
      <c r="B680" s="107" t="s">
        <v>2178</v>
      </c>
      <c r="C680" s="106" t="s">
        <v>879</v>
      </c>
      <c r="D680" s="106" t="s">
        <v>1416</v>
      </c>
      <c r="E680" s="108">
        <v>2001</v>
      </c>
      <c r="F680" s="109"/>
    </row>
    <row r="681" spans="1:6" s="87" customFormat="1" ht="16.5" x14ac:dyDescent="0.3">
      <c r="A681" s="106" t="s">
        <v>2179</v>
      </c>
      <c r="B681" s="107" t="s">
        <v>2180</v>
      </c>
      <c r="C681" s="106" t="s">
        <v>879</v>
      </c>
      <c r="D681" s="106" t="s">
        <v>1196</v>
      </c>
      <c r="E681" s="108">
        <v>1987</v>
      </c>
      <c r="F681" s="109"/>
    </row>
    <row r="682" spans="1:6" s="87" customFormat="1" ht="33" x14ac:dyDescent="0.3">
      <c r="A682" s="106" t="s">
        <v>2181</v>
      </c>
      <c r="B682" s="107" t="s">
        <v>2182</v>
      </c>
      <c r="C682" s="108">
        <v>1</v>
      </c>
      <c r="D682" s="106" t="s">
        <v>2008</v>
      </c>
      <c r="E682" s="108">
        <v>2012</v>
      </c>
      <c r="F682" s="109"/>
    </row>
    <row r="683" spans="1:6" s="87" customFormat="1" ht="16.5" x14ac:dyDescent="0.3">
      <c r="A683" s="106" t="s">
        <v>2183</v>
      </c>
      <c r="B683" s="107" t="s">
        <v>2184</v>
      </c>
      <c r="C683" s="106" t="s">
        <v>906</v>
      </c>
      <c r="D683" s="106" t="s">
        <v>2185</v>
      </c>
      <c r="E683" s="108">
        <v>2018</v>
      </c>
      <c r="F683" s="109"/>
    </row>
    <row r="684" spans="1:6" s="87" customFormat="1" ht="66" x14ac:dyDescent="0.3">
      <c r="A684" s="106" t="s">
        <v>2186</v>
      </c>
      <c r="B684" s="107" t="s">
        <v>2187</v>
      </c>
      <c r="C684" s="108">
        <v>1</v>
      </c>
      <c r="D684" s="106" t="s">
        <v>942</v>
      </c>
      <c r="E684" s="108">
        <v>2012</v>
      </c>
      <c r="F684" s="109" t="s">
        <v>918</v>
      </c>
    </row>
    <row r="685" spans="1:6" s="87" customFormat="1" ht="16.5" x14ac:dyDescent="0.3">
      <c r="A685" s="106" t="s">
        <v>2188</v>
      </c>
      <c r="B685" s="107" t="s">
        <v>2189</v>
      </c>
      <c r="C685" s="108">
        <v>3</v>
      </c>
      <c r="D685" s="106" t="s">
        <v>1468</v>
      </c>
      <c r="E685" s="108">
        <v>1987</v>
      </c>
      <c r="F685" s="109"/>
    </row>
    <row r="686" spans="1:6" s="87" customFormat="1" ht="16.5" x14ac:dyDescent="0.3">
      <c r="A686" s="106" t="s">
        <v>2190</v>
      </c>
      <c r="B686" s="107" t="s">
        <v>2191</v>
      </c>
      <c r="C686" s="108">
        <v>3</v>
      </c>
      <c r="D686" s="106" t="s">
        <v>2192</v>
      </c>
      <c r="E686" s="108">
        <v>1987</v>
      </c>
      <c r="F686" s="109"/>
    </row>
    <row r="687" spans="1:6" s="87" customFormat="1" ht="16.5" x14ac:dyDescent="0.3">
      <c r="A687" s="106" t="s">
        <v>2193</v>
      </c>
      <c r="B687" s="107" t="s">
        <v>2194</v>
      </c>
      <c r="C687" s="108">
        <v>3</v>
      </c>
      <c r="D687" s="106" t="s">
        <v>1361</v>
      </c>
      <c r="E687" s="108">
        <v>1987</v>
      </c>
      <c r="F687" s="109"/>
    </row>
    <row r="688" spans="1:6" s="87" customFormat="1" ht="16.5" x14ac:dyDescent="0.3">
      <c r="A688" s="106" t="s">
        <v>2195</v>
      </c>
      <c r="B688" s="107" t="s">
        <v>2196</v>
      </c>
      <c r="C688" s="108">
        <v>3</v>
      </c>
      <c r="D688" s="106" t="s">
        <v>1119</v>
      </c>
      <c r="E688" s="108">
        <v>1987</v>
      </c>
      <c r="F688" s="109"/>
    </row>
    <row r="689" spans="1:6" s="87" customFormat="1" ht="16.5" x14ac:dyDescent="0.3">
      <c r="A689" s="106" t="s">
        <v>2197</v>
      </c>
      <c r="B689" s="107" t="s">
        <v>2198</v>
      </c>
      <c r="C689" s="108">
        <v>3</v>
      </c>
      <c r="D689" s="106" t="s">
        <v>1196</v>
      </c>
      <c r="E689" s="108">
        <v>1987</v>
      </c>
      <c r="F689" s="109"/>
    </row>
    <row r="690" spans="1:6" s="87" customFormat="1" ht="16.5" x14ac:dyDescent="0.3">
      <c r="A690" s="106" t="s">
        <v>2199</v>
      </c>
      <c r="B690" s="107" t="s">
        <v>2200</v>
      </c>
      <c r="C690" s="108">
        <v>3</v>
      </c>
      <c r="D690" s="108">
        <v>79</v>
      </c>
      <c r="E690" s="108">
        <v>2001</v>
      </c>
      <c r="F690" s="109"/>
    </row>
    <row r="691" spans="1:6" s="87" customFormat="1" ht="16.5" x14ac:dyDescent="0.3">
      <c r="A691" s="106" t="s">
        <v>2201</v>
      </c>
      <c r="B691" s="107" t="s">
        <v>2202</v>
      </c>
      <c r="C691" s="106"/>
      <c r="D691" s="106"/>
      <c r="E691" s="106"/>
      <c r="F691" s="109"/>
    </row>
    <row r="692" spans="1:6" s="87" customFormat="1" ht="16.5" x14ac:dyDescent="0.3">
      <c r="A692" s="106" t="s">
        <v>2201</v>
      </c>
      <c r="B692" s="107" t="s">
        <v>2203</v>
      </c>
      <c r="C692" s="108">
        <v>1</v>
      </c>
      <c r="D692" s="106" t="s">
        <v>2204</v>
      </c>
      <c r="E692" s="108">
        <v>2012</v>
      </c>
      <c r="F692" s="109"/>
    </row>
    <row r="693" spans="1:6" s="87" customFormat="1" ht="16.5" x14ac:dyDescent="0.3">
      <c r="A693" s="106" t="s">
        <v>2205</v>
      </c>
      <c r="B693" s="107" t="s">
        <v>2206</v>
      </c>
      <c r="C693" s="106" t="s">
        <v>879</v>
      </c>
      <c r="D693" s="108">
        <v>65</v>
      </c>
      <c r="E693" s="108">
        <v>1996</v>
      </c>
      <c r="F693" s="109"/>
    </row>
    <row r="694" spans="1:6" s="87" customFormat="1" ht="16.5" x14ac:dyDescent="0.3">
      <c r="A694" s="106" t="s">
        <v>2207</v>
      </c>
      <c r="B694" s="107" t="s">
        <v>2208</v>
      </c>
      <c r="C694" s="106" t="s">
        <v>879</v>
      </c>
      <c r="D694" s="108">
        <v>118</v>
      </c>
      <c r="E694" s="106" t="s">
        <v>950</v>
      </c>
      <c r="F694" s="109"/>
    </row>
    <row r="695" spans="1:6" s="87" customFormat="1" ht="16.5" x14ac:dyDescent="0.2">
      <c r="A695" s="106" t="s">
        <v>2209</v>
      </c>
      <c r="B695" s="107" t="s">
        <v>2210</v>
      </c>
      <c r="C695" s="108">
        <v>3</v>
      </c>
      <c r="D695" s="106" t="s">
        <v>1468</v>
      </c>
      <c r="E695" s="108">
        <v>1987</v>
      </c>
      <c r="F695" s="111"/>
    </row>
    <row r="696" spans="1:6" s="87" customFormat="1" ht="16.5" x14ac:dyDescent="0.2">
      <c r="A696" s="106" t="s">
        <v>2211</v>
      </c>
      <c r="B696" s="107" t="s">
        <v>2212</v>
      </c>
      <c r="C696" s="108">
        <v>3</v>
      </c>
      <c r="D696" s="106" t="s">
        <v>1390</v>
      </c>
      <c r="E696" s="108">
        <v>1987</v>
      </c>
      <c r="F696" s="111"/>
    </row>
    <row r="697" spans="1:6" s="87" customFormat="1" ht="16.5" x14ac:dyDescent="0.2">
      <c r="A697" s="106" t="s">
        <v>2213</v>
      </c>
      <c r="B697" s="107" t="s">
        <v>2214</v>
      </c>
      <c r="C697" s="108">
        <v>3</v>
      </c>
      <c r="D697" s="106" t="s">
        <v>1321</v>
      </c>
      <c r="E697" s="108">
        <v>1987</v>
      </c>
      <c r="F697" s="111"/>
    </row>
    <row r="698" spans="1:6" s="87" customFormat="1" ht="16.5" x14ac:dyDescent="0.2">
      <c r="A698" s="106" t="s">
        <v>2215</v>
      </c>
      <c r="B698" s="107" t="s">
        <v>2216</v>
      </c>
      <c r="C698" s="108">
        <v>3</v>
      </c>
      <c r="D698" s="106" t="s">
        <v>1361</v>
      </c>
      <c r="E698" s="108">
        <v>1987</v>
      </c>
      <c r="F698" s="111"/>
    </row>
    <row r="699" spans="1:6" s="87" customFormat="1" ht="16.5" x14ac:dyDescent="0.2">
      <c r="A699" s="106" t="s">
        <v>2217</v>
      </c>
      <c r="B699" s="107" t="s">
        <v>2218</v>
      </c>
      <c r="C699" s="106" t="s">
        <v>879</v>
      </c>
      <c r="D699" s="106" t="s">
        <v>1416</v>
      </c>
      <c r="E699" s="108">
        <v>2001</v>
      </c>
      <c r="F699" s="111"/>
    </row>
    <row r="700" spans="1:6" s="87" customFormat="1" ht="16.5" x14ac:dyDescent="0.2">
      <c r="A700" s="106" t="s">
        <v>2219</v>
      </c>
      <c r="B700" s="107" t="s">
        <v>2220</v>
      </c>
      <c r="C700" s="106" t="s">
        <v>906</v>
      </c>
      <c r="D700" s="106" t="s">
        <v>1321</v>
      </c>
      <c r="E700" s="108">
        <v>1987</v>
      </c>
      <c r="F700" s="111"/>
    </row>
    <row r="701" spans="1:6" s="87" customFormat="1" ht="16.5" x14ac:dyDescent="0.2">
      <c r="A701" s="106" t="s">
        <v>2221</v>
      </c>
      <c r="B701" s="107" t="s">
        <v>2222</v>
      </c>
      <c r="C701" s="106" t="s">
        <v>906</v>
      </c>
      <c r="D701" s="106" t="s">
        <v>2223</v>
      </c>
      <c r="E701" s="108">
        <v>2010</v>
      </c>
      <c r="F701" s="111"/>
    </row>
    <row r="702" spans="1:6" s="87" customFormat="1" ht="16.5" x14ac:dyDescent="0.2">
      <c r="A702" s="106" t="s">
        <v>2224</v>
      </c>
      <c r="B702" s="107" t="s">
        <v>2225</v>
      </c>
      <c r="C702" s="108">
        <v>3</v>
      </c>
      <c r="D702" s="106" t="s">
        <v>1390</v>
      </c>
      <c r="E702" s="108">
        <v>1987</v>
      </c>
      <c r="F702" s="111"/>
    </row>
    <row r="703" spans="1:6" s="87" customFormat="1" ht="16.5" x14ac:dyDescent="0.2">
      <c r="A703" s="106" t="s">
        <v>2226</v>
      </c>
      <c r="B703" s="107" t="s">
        <v>2227</v>
      </c>
      <c r="C703" s="106" t="s">
        <v>879</v>
      </c>
      <c r="D703" s="108">
        <v>76</v>
      </c>
      <c r="E703" s="108">
        <v>2000</v>
      </c>
      <c r="F703" s="111"/>
    </row>
    <row r="704" spans="1:6" s="87" customFormat="1" ht="16.5" x14ac:dyDescent="0.2">
      <c r="A704" s="106" t="s">
        <v>2228</v>
      </c>
      <c r="B704" s="107" t="s">
        <v>2229</v>
      </c>
      <c r="C704" s="106" t="s">
        <v>879</v>
      </c>
      <c r="D704" s="108">
        <v>63</v>
      </c>
      <c r="E704" s="108">
        <v>1995</v>
      </c>
      <c r="F704" s="111"/>
    </row>
    <row r="705" spans="1:6" s="87" customFormat="1" ht="16.5" x14ac:dyDescent="0.2">
      <c r="A705" s="106" t="s">
        <v>2230</v>
      </c>
      <c r="B705" s="107" t="s">
        <v>2231</v>
      </c>
      <c r="C705" s="108">
        <v>3</v>
      </c>
      <c r="D705" s="106" t="s">
        <v>1227</v>
      </c>
      <c r="E705" s="108">
        <v>1987</v>
      </c>
      <c r="F705" s="111"/>
    </row>
    <row r="706" spans="1:6" s="87" customFormat="1" ht="16.5" x14ac:dyDescent="0.2">
      <c r="A706" s="106" t="s">
        <v>2232</v>
      </c>
      <c r="B706" s="107" t="s">
        <v>2233</v>
      </c>
      <c r="C706" s="108">
        <v>3</v>
      </c>
      <c r="D706" s="106" t="s">
        <v>1280</v>
      </c>
      <c r="E706" s="108">
        <v>1987</v>
      </c>
      <c r="F706" s="111"/>
    </row>
    <row r="707" spans="1:6" s="87" customFormat="1" ht="16.5" x14ac:dyDescent="0.2">
      <c r="A707" s="106" t="s">
        <v>2234</v>
      </c>
      <c r="B707" s="107" t="s">
        <v>2235</v>
      </c>
      <c r="C707" s="108">
        <v>3</v>
      </c>
      <c r="D707" s="108">
        <v>50</v>
      </c>
      <c r="E707" s="108">
        <v>1990</v>
      </c>
      <c r="F707" s="111"/>
    </row>
    <row r="708" spans="1:6" s="87" customFormat="1" ht="16.5" x14ac:dyDescent="0.2">
      <c r="A708" s="106" t="s">
        <v>2236</v>
      </c>
      <c r="B708" s="107" t="s">
        <v>2237</v>
      </c>
      <c r="C708" s="108">
        <v>3</v>
      </c>
      <c r="D708" s="106" t="s">
        <v>2238</v>
      </c>
      <c r="E708" s="108">
        <v>1993</v>
      </c>
      <c r="F708" s="111"/>
    </row>
    <row r="709" spans="1:6" s="87" customFormat="1" ht="16.5" x14ac:dyDescent="0.2">
      <c r="A709" s="106" t="s">
        <v>2239</v>
      </c>
      <c r="B709" s="107" t="s">
        <v>2240</v>
      </c>
      <c r="C709" s="108">
        <v>3</v>
      </c>
      <c r="D709" s="108">
        <v>53</v>
      </c>
      <c r="E709" s="108">
        <v>1991</v>
      </c>
      <c r="F709" s="111"/>
    </row>
    <row r="710" spans="1:6" s="87" customFormat="1" ht="16.5" x14ac:dyDescent="0.2">
      <c r="A710" s="106" t="s">
        <v>2241</v>
      </c>
      <c r="B710" s="107" t="s">
        <v>2242</v>
      </c>
      <c r="C710" s="108">
        <v>3</v>
      </c>
      <c r="D710" s="106" t="s">
        <v>929</v>
      </c>
      <c r="E710" s="108">
        <v>1987</v>
      </c>
      <c r="F710" s="111"/>
    </row>
    <row r="711" spans="1:6" s="87" customFormat="1" ht="16.5" x14ac:dyDescent="0.3">
      <c r="A711" s="106" t="s">
        <v>2243</v>
      </c>
      <c r="B711" s="107" t="s">
        <v>2244</v>
      </c>
      <c r="C711" s="108">
        <v>3</v>
      </c>
      <c r="D711" s="106" t="s">
        <v>1416</v>
      </c>
      <c r="E711" s="108">
        <v>2001</v>
      </c>
      <c r="F711" s="109"/>
    </row>
    <row r="712" spans="1:6" s="87" customFormat="1" ht="16.5" x14ac:dyDescent="0.3">
      <c r="A712" s="106" t="s">
        <v>2245</v>
      </c>
      <c r="B712" s="107" t="s">
        <v>2246</v>
      </c>
      <c r="C712" s="108">
        <v>1</v>
      </c>
      <c r="D712" s="106" t="s">
        <v>2247</v>
      </c>
      <c r="E712" s="108">
        <v>2012</v>
      </c>
      <c r="F712" s="109"/>
    </row>
    <row r="713" spans="1:6" s="87" customFormat="1" ht="16.5" x14ac:dyDescent="0.3">
      <c r="A713" s="106" t="s">
        <v>2248</v>
      </c>
      <c r="B713" s="107" t="s">
        <v>2249</v>
      </c>
      <c r="C713" s="108">
        <v>3</v>
      </c>
      <c r="D713" s="106" t="s">
        <v>1321</v>
      </c>
      <c r="E713" s="108">
        <v>1987</v>
      </c>
      <c r="F713" s="109"/>
    </row>
    <row r="714" spans="1:6" s="87" customFormat="1" ht="16.5" x14ac:dyDescent="0.3">
      <c r="A714" s="106" t="s">
        <v>2250</v>
      </c>
      <c r="B714" s="107" t="s">
        <v>2251</v>
      </c>
      <c r="C714" s="108">
        <v>3</v>
      </c>
      <c r="D714" s="106" t="s">
        <v>1390</v>
      </c>
      <c r="E714" s="108">
        <v>1987</v>
      </c>
      <c r="F714" s="109"/>
    </row>
    <row r="715" spans="1:6" s="87" customFormat="1" ht="16.5" x14ac:dyDescent="0.3">
      <c r="A715" s="106" t="s">
        <v>2252</v>
      </c>
      <c r="B715" s="107" t="s">
        <v>2253</v>
      </c>
      <c r="C715" s="108">
        <v>3</v>
      </c>
      <c r="D715" s="106" t="s">
        <v>1450</v>
      </c>
      <c r="E715" s="108">
        <v>1987</v>
      </c>
      <c r="F715" s="109"/>
    </row>
    <row r="716" spans="1:6" s="87" customFormat="1" ht="16.5" x14ac:dyDescent="0.3">
      <c r="A716" s="106" t="s">
        <v>2254</v>
      </c>
      <c r="B716" s="107" t="s">
        <v>2255</v>
      </c>
      <c r="C716" s="108">
        <v>3</v>
      </c>
      <c r="D716" s="106" t="s">
        <v>1239</v>
      </c>
      <c r="E716" s="108">
        <v>1987</v>
      </c>
      <c r="F716" s="109"/>
    </row>
    <row r="717" spans="1:6" s="87" customFormat="1" ht="16.5" x14ac:dyDescent="0.3">
      <c r="A717" s="106" t="s">
        <v>2254</v>
      </c>
      <c r="B717" s="107" t="s">
        <v>2256</v>
      </c>
      <c r="C717" s="106"/>
      <c r="D717" s="106"/>
      <c r="E717" s="106"/>
      <c r="F717" s="109"/>
    </row>
    <row r="718" spans="1:6" s="87" customFormat="1" ht="16.5" x14ac:dyDescent="0.3">
      <c r="A718" s="106" t="s">
        <v>2257</v>
      </c>
      <c r="B718" s="107" t="s">
        <v>2258</v>
      </c>
      <c r="C718" s="108">
        <v>3</v>
      </c>
      <c r="D718" s="106" t="s">
        <v>929</v>
      </c>
      <c r="E718" s="108">
        <v>1987</v>
      </c>
      <c r="F718" s="109"/>
    </row>
    <row r="719" spans="1:6" s="87" customFormat="1" ht="16.5" x14ac:dyDescent="0.3">
      <c r="A719" s="106" t="s">
        <v>2259</v>
      </c>
      <c r="B719" s="107" t="s">
        <v>2260</v>
      </c>
      <c r="C719" s="108">
        <v>3</v>
      </c>
      <c r="D719" s="108">
        <v>53</v>
      </c>
      <c r="E719" s="108">
        <v>1991</v>
      </c>
      <c r="F719" s="109"/>
    </row>
    <row r="720" spans="1:6" s="87" customFormat="1" ht="16.5" x14ac:dyDescent="0.3">
      <c r="A720" s="106" t="s">
        <v>2261</v>
      </c>
      <c r="B720" s="107" t="s">
        <v>2262</v>
      </c>
      <c r="C720" s="108">
        <v>3</v>
      </c>
      <c r="D720" s="108">
        <v>53</v>
      </c>
      <c r="E720" s="108">
        <v>1991</v>
      </c>
      <c r="F720" s="109"/>
    </row>
    <row r="721" spans="1:6" s="87" customFormat="1" ht="16.5" x14ac:dyDescent="0.3">
      <c r="A721" s="106" t="s">
        <v>2263</v>
      </c>
      <c r="B721" s="107" t="s">
        <v>2264</v>
      </c>
      <c r="C721" s="108">
        <v>3</v>
      </c>
      <c r="D721" s="106" t="s">
        <v>1361</v>
      </c>
      <c r="E721" s="108">
        <v>1987</v>
      </c>
      <c r="F721" s="109"/>
    </row>
    <row r="722" spans="1:6" s="87" customFormat="1" ht="66" x14ac:dyDescent="0.3">
      <c r="A722" s="106" t="s">
        <v>2265</v>
      </c>
      <c r="B722" s="107" t="s">
        <v>2266</v>
      </c>
      <c r="C722" s="106" t="s">
        <v>906</v>
      </c>
      <c r="D722" s="106" t="s">
        <v>1526</v>
      </c>
      <c r="E722" s="108">
        <v>2010</v>
      </c>
      <c r="F722" s="109" t="s">
        <v>1291</v>
      </c>
    </row>
    <row r="723" spans="1:6" s="87" customFormat="1" ht="16.5" x14ac:dyDescent="0.3">
      <c r="A723" s="106" t="s">
        <v>2267</v>
      </c>
      <c r="B723" s="107" t="s">
        <v>2268</v>
      </c>
      <c r="C723" s="108">
        <v>3</v>
      </c>
      <c r="D723" s="106" t="s">
        <v>2238</v>
      </c>
      <c r="E723" s="108">
        <v>1993</v>
      </c>
      <c r="F723" s="109"/>
    </row>
    <row r="724" spans="1:6" s="87" customFormat="1" ht="16.5" x14ac:dyDescent="0.3">
      <c r="A724" s="106" t="s">
        <v>2269</v>
      </c>
      <c r="B724" s="107" t="s">
        <v>2270</v>
      </c>
      <c r="C724" s="106" t="s">
        <v>879</v>
      </c>
      <c r="D724" s="106" t="s">
        <v>1321</v>
      </c>
      <c r="E724" s="108">
        <v>1987</v>
      </c>
      <c r="F724" s="109"/>
    </row>
    <row r="725" spans="1:6" s="87" customFormat="1" ht="16.5" x14ac:dyDescent="0.3">
      <c r="A725" s="106" t="s">
        <v>2271</v>
      </c>
      <c r="B725" s="107" t="s">
        <v>2272</v>
      </c>
      <c r="C725" s="106" t="s">
        <v>879</v>
      </c>
      <c r="D725" s="106" t="s">
        <v>1955</v>
      </c>
      <c r="E725" s="108">
        <v>1987</v>
      </c>
      <c r="F725" s="109"/>
    </row>
    <row r="726" spans="1:6" s="87" customFormat="1" ht="16.5" x14ac:dyDescent="0.3">
      <c r="A726" s="106" t="s">
        <v>2273</v>
      </c>
      <c r="B726" s="107" t="s">
        <v>2274</v>
      </c>
      <c r="C726" s="108">
        <v>3</v>
      </c>
      <c r="D726" s="106" t="s">
        <v>1239</v>
      </c>
      <c r="E726" s="108">
        <v>1987</v>
      </c>
      <c r="F726" s="109"/>
    </row>
    <row r="727" spans="1:6" s="87" customFormat="1" ht="16.5" x14ac:dyDescent="0.3">
      <c r="A727" s="106" t="s">
        <v>2275</v>
      </c>
      <c r="B727" s="107" t="s">
        <v>2276</v>
      </c>
      <c r="C727" s="108">
        <v>3</v>
      </c>
      <c r="D727" s="106" t="s">
        <v>1468</v>
      </c>
      <c r="E727" s="108">
        <v>1987</v>
      </c>
      <c r="F727" s="109"/>
    </row>
    <row r="728" spans="1:6" s="87" customFormat="1" ht="16.5" x14ac:dyDescent="0.3">
      <c r="A728" s="106" t="s">
        <v>2277</v>
      </c>
      <c r="B728" s="107" t="s">
        <v>2278</v>
      </c>
      <c r="C728" s="108">
        <v>3</v>
      </c>
      <c r="D728" s="106" t="s">
        <v>1526</v>
      </c>
      <c r="E728" s="108">
        <v>2010</v>
      </c>
      <c r="F728" s="109"/>
    </row>
    <row r="729" spans="1:6" s="87" customFormat="1" ht="16.5" x14ac:dyDescent="0.3">
      <c r="A729" s="106" t="s">
        <v>2279</v>
      </c>
      <c r="B729" s="107" t="s">
        <v>2280</v>
      </c>
      <c r="C729" s="106" t="s">
        <v>879</v>
      </c>
      <c r="D729" s="106" t="s">
        <v>1450</v>
      </c>
      <c r="E729" s="108">
        <v>1987</v>
      </c>
      <c r="F729" s="109"/>
    </row>
    <row r="730" spans="1:6" s="87" customFormat="1" ht="16.5" x14ac:dyDescent="0.3">
      <c r="A730" s="106" t="s">
        <v>2279</v>
      </c>
      <c r="B730" s="107" t="s">
        <v>2281</v>
      </c>
      <c r="C730" s="106"/>
      <c r="D730" s="106"/>
      <c r="E730" s="106"/>
      <c r="F730" s="109"/>
    </row>
    <row r="731" spans="1:6" s="87" customFormat="1" ht="16.5" x14ac:dyDescent="0.3">
      <c r="A731" s="106" t="s">
        <v>2282</v>
      </c>
      <c r="B731" s="107" t="s">
        <v>2283</v>
      </c>
      <c r="C731" s="108">
        <v>3</v>
      </c>
      <c r="D731" s="106" t="s">
        <v>1468</v>
      </c>
      <c r="E731" s="108">
        <v>1987</v>
      </c>
      <c r="F731" s="109"/>
    </row>
    <row r="732" spans="1:6" s="87" customFormat="1" ht="16.5" x14ac:dyDescent="0.3">
      <c r="A732" s="106" t="s">
        <v>2284</v>
      </c>
      <c r="B732" s="107" t="s">
        <v>2285</v>
      </c>
      <c r="C732" s="108">
        <v>3</v>
      </c>
      <c r="D732" s="108">
        <v>50</v>
      </c>
      <c r="E732" s="108">
        <v>1990</v>
      </c>
      <c r="F732" s="109"/>
    </row>
    <row r="733" spans="1:6" s="87" customFormat="1" ht="16.5" x14ac:dyDescent="0.3">
      <c r="A733" s="106" t="s">
        <v>2286</v>
      </c>
      <c r="B733" s="107" t="s">
        <v>2287</v>
      </c>
      <c r="C733" s="108">
        <v>3</v>
      </c>
      <c r="D733" s="106" t="s">
        <v>1429</v>
      </c>
      <c r="E733" s="108">
        <v>1987</v>
      </c>
      <c r="F733" s="109"/>
    </row>
    <row r="734" spans="1:6" s="87" customFormat="1" ht="66" x14ac:dyDescent="0.3">
      <c r="A734" s="106" t="s">
        <v>2288</v>
      </c>
      <c r="B734" s="107" t="s">
        <v>2289</v>
      </c>
      <c r="C734" s="106" t="s">
        <v>906</v>
      </c>
      <c r="D734" s="106" t="s">
        <v>1734</v>
      </c>
      <c r="E734" s="108">
        <v>1999</v>
      </c>
      <c r="F734" s="109" t="s">
        <v>1291</v>
      </c>
    </row>
    <row r="735" spans="1:6" ht="16.5" x14ac:dyDescent="0.3">
      <c r="A735" s="106" t="s">
        <v>2290</v>
      </c>
      <c r="B735" s="107" t="s">
        <v>2291</v>
      </c>
      <c r="C735" s="108">
        <v>3</v>
      </c>
      <c r="D735" s="108">
        <v>73</v>
      </c>
      <c r="E735" s="108">
        <v>1999</v>
      </c>
      <c r="F735" s="109"/>
    </row>
    <row r="736" spans="1:6" ht="16.5" x14ac:dyDescent="0.3">
      <c r="A736" s="106" t="s">
        <v>2292</v>
      </c>
      <c r="B736" s="107" t="s">
        <v>2293</v>
      </c>
      <c r="C736" s="106" t="s">
        <v>879</v>
      </c>
      <c r="D736" s="108">
        <v>122</v>
      </c>
      <c r="E736" s="108">
        <v>2019</v>
      </c>
      <c r="F736" s="109"/>
    </row>
    <row r="737" spans="1:6" ht="16.5" x14ac:dyDescent="0.3">
      <c r="A737" s="106" t="s">
        <v>2294</v>
      </c>
      <c r="B737" s="107" t="s">
        <v>2295</v>
      </c>
      <c r="C737" s="106" t="s">
        <v>879</v>
      </c>
      <c r="D737" s="106" t="s">
        <v>1335</v>
      </c>
      <c r="E737" s="108">
        <v>1999</v>
      </c>
      <c r="F737" s="109"/>
    </row>
    <row r="738" spans="1:6" ht="16.5" x14ac:dyDescent="0.3">
      <c r="A738" s="106" t="s">
        <v>2296</v>
      </c>
      <c r="B738" s="107" t="s">
        <v>2297</v>
      </c>
      <c r="C738" s="108">
        <v>3</v>
      </c>
      <c r="D738" s="106" t="s">
        <v>1222</v>
      </c>
      <c r="E738" s="108">
        <v>1999</v>
      </c>
      <c r="F738" s="109"/>
    </row>
    <row r="739" spans="1:6" ht="33" x14ac:dyDescent="0.3">
      <c r="A739" s="106" t="s">
        <v>2298</v>
      </c>
      <c r="B739" s="107" t="s">
        <v>2299</v>
      </c>
      <c r="C739" s="108">
        <v>1</v>
      </c>
      <c r="D739" s="106" t="s">
        <v>2300</v>
      </c>
      <c r="E739" s="108">
        <v>2012</v>
      </c>
      <c r="F739" s="109"/>
    </row>
    <row r="740" spans="1:6" ht="16.5" x14ac:dyDescent="0.3">
      <c r="A740" s="106" t="s">
        <v>2301</v>
      </c>
      <c r="B740" s="107" t="s">
        <v>2302</v>
      </c>
      <c r="C740" s="108">
        <v>3</v>
      </c>
      <c r="D740" s="106" t="s">
        <v>904</v>
      </c>
      <c r="E740" s="108">
        <v>1987</v>
      </c>
      <c r="F740" s="109"/>
    </row>
    <row r="741" spans="1:6" ht="16.5" x14ac:dyDescent="0.3">
      <c r="A741" s="106" t="s">
        <v>2303</v>
      </c>
      <c r="B741" s="107" t="s">
        <v>2304</v>
      </c>
      <c r="C741" s="108">
        <v>3</v>
      </c>
      <c r="D741" s="106" t="s">
        <v>1314</v>
      </c>
      <c r="E741" s="108">
        <v>1999</v>
      </c>
      <c r="F741" s="109"/>
    </row>
    <row r="742" spans="1:6" ht="16.5" x14ac:dyDescent="0.3">
      <c r="A742" s="106" t="s">
        <v>2305</v>
      </c>
      <c r="B742" s="107" t="s">
        <v>2306</v>
      </c>
      <c r="C742" s="108">
        <v>3</v>
      </c>
      <c r="D742" s="106" t="s">
        <v>1321</v>
      </c>
      <c r="E742" s="108">
        <v>1987</v>
      </c>
      <c r="F742" s="109"/>
    </row>
    <row r="743" spans="1:6" ht="16.5" x14ac:dyDescent="0.3">
      <c r="A743" s="106" t="s">
        <v>2307</v>
      </c>
      <c r="B743" s="107" t="s">
        <v>2308</v>
      </c>
      <c r="C743" s="108">
        <v>3</v>
      </c>
      <c r="D743" s="106" t="s">
        <v>1205</v>
      </c>
      <c r="E743" s="108">
        <v>1987</v>
      </c>
      <c r="F743" s="109"/>
    </row>
    <row r="744" spans="1:6" ht="66" x14ac:dyDescent="0.3">
      <c r="A744" s="106" t="s">
        <v>2309</v>
      </c>
      <c r="B744" s="107" t="s">
        <v>2310</v>
      </c>
      <c r="C744" s="106" t="s">
        <v>906</v>
      </c>
      <c r="D744" s="108">
        <v>50</v>
      </c>
      <c r="E744" s="108">
        <v>1990</v>
      </c>
      <c r="F744" s="109" t="s">
        <v>1291</v>
      </c>
    </row>
    <row r="745" spans="1:6" ht="16.5" x14ac:dyDescent="0.3">
      <c r="A745" s="106" t="s">
        <v>2311</v>
      </c>
      <c r="B745" s="107" t="s">
        <v>2312</v>
      </c>
      <c r="C745" s="106" t="s">
        <v>879</v>
      </c>
      <c r="D745" s="108">
        <v>129</v>
      </c>
      <c r="E745" s="106" t="s">
        <v>1474</v>
      </c>
      <c r="F745" s="109"/>
    </row>
    <row r="746" spans="1:6" ht="66" x14ac:dyDescent="0.3">
      <c r="A746" s="106" t="s">
        <v>2313</v>
      </c>
      <c r="B746" s="107" t="s">
        <v>2314</v>
      </c>
      <c r="C746" s="106" t="s">
        <v>906</v>
      </c>
      <c r="D746" s="106" t="s">
        <v>1188</v>
      </c>
      <c r="E746" s="108">
        <v>1987</v>
      </c>
      <c r="F746" s="109" t="s">
        <v>1291</v>
      </c>
    </row>
    <row r="747" spans="1:6" ht="16.5" x14ac:dyDescent="0.3">
      <c r="A747" s="106" t="s">
        <v>2315</v>
      </c>
      <c r="B747" s="107" t="s">
        <v>2316</v>
      </c>
      <c r="C747" s="106"/>
      <c r="D747" s="106"/>
      <c r="E747" s="106"/>
      <c r="F747" s="109"/>
    </row>
    <row r="748" spans="1:6" ht="16.5" x14ac:dyDescent="0.3">
      <c r="A748" s="106" t="s">
        <v>2315</v>
      </c>
      <c r="B748" s="107" t="s">
        <v>2317</v>
      </c>
      <c r="C748" s="108">
        <v>1</v>
      </c>
      <c r="D748" s="106" t="s">
        <v>2171</v>
      </c>
      <c r="E748" s="108">
        <v>2012</v>
      </c>
      <c r="F748" s="109"/>
    </row>
    <row r="749" spans="1:6" ht="16.5" x14ac:dyDescent="0.3">
      <c r="A749" s="106" t="s">
        <v>2315</v>
      </c>
      <c r="B749" s="107" t="s">
        <v>2318</v>
      </c>
      <c r="C749" s="106"/>
      <c r="D749" s="106"/>
      <c r="E749" s="106"/>
      <c r="F749" s="109"/>
    </row>
    <row r="750" spans="1:6" ht="16.5" x14ac:dyDescent="0.3">
      <c r="A750" s="106" t="s">
        <v>2319</v>
      </c>
      <c r="B750" s="107" t="s">
        <v>2320</v>
      </c>
      <c r="C750" s="108">
        <v>3</v>
      </c>
      <c r="D750" s="106" t="s">
        <v>1321</v>
      </c>
      <c r="E750" s="108">
        <v>1987</v>
      </c>
      <c r="F750" s="109"/>
    </row>
    <row r="751" spans="1:6" ht="66" x14ac:dyDescent="0.3">
      <c r="A751" s="106" t="s">
        <v>2321</v>
      </c>
      <c r="B751" s="107" t="s">
        <v>2322</v>
      </c>
      <c r="C751" s="106" t="s">
        <v>906</v>
      </c>
      <c r="D751" s="106" t="s">
        <v>2137</v>
      </c>
      <c r="E751" s="108">
        <v>2014</v>
      </c>
      <c r="F751" s="109" t="s">
        <v>1291</v>
      </c>
    </row>
    <row r="752" spans="1:6" ht="16.5" x14ac:dyDescent="0.3">
      <c r="A752" s="106" t="s">
        <v>2323</v>
      </c>
      <c r="B752" s="107" t="s">
        <v>2324</v>
      </c>
      <c r="C752" s="106" t="s">
        <v>879</v>
      </c>
      <c r="D752" s="106" t="s">
        <v>1955</v>
      </c>
      <c r="E752" s="108">
        <v>1987</v>
      </c>
      <c r="F752" s="109"/>
    </row>
    <row r="753" spans="1:6" ht="16.5" x14ac:dyDescent="0.3">
      <c r="A753" s="106" t="s">
        <v>2325</v>
      </c>
      <c r="B753" s="107" t="s">
        <v>2326</v>
      </c>
      <c r="C753" s="108">
        <v>3</v>
      </c>
      <c r="D753" s="106" t="s">
        <v>2327</v>
      </c>
      <c r="E753" s="108">
        <v>2004</v>
      </c>
      <c r="F753" s="109"/>
    </row>
    <row r="754" spans="1:6" ht="16.5" x14ac:dyDescent="0.3">
      <c r="A754" s="106" t="s">
        <v>2328</v>
      </c>
      <c r="B754" s="107" t="s">
        <v>2329</v>
      </c>
      <c r="C754" s="108">
        <v>3</v>
      </c>
      <c r="D754" s="106" t="s">
        <v>2327</v>
      </c>
      <c r="E754" s="108">
        <v>2004</v>
      </c>
      <c r="F754" s="109"/>
    </row>
    <row r="755" spans="1:6" ht="66" x14ac:dyDescent="0.3">
      <c r="A755" s="106" t="s">
        <v>2330</v>
      </c>
      <c r="B755" s="107" t="s">
        <v>2331</v>
      </c>
      <c r="C755" s="106" t="s">
        <v>906</v>
      </c>
      <c r="D755" s="108">
        <v>77</v>
      </c>
      <c r="E755" s="108">
        <v>2000</v>
      </c>
      <c r="F755" s="109" t="s">
        <v>1291</v>
      </c>
    </row>
    <row r="756" spans="1:6" ht="16.5" x14ac:dyDescent="0.3">
      <c r="A756" s="106" t="s">
        <v>2332</v>
      </c>
      <c r="B756" s="107" t="s">
        <v>2333</v>
      </c>
      <c r="C756" s="106" t="s">
        <v>879</v>
      </c>
      <c r="D756" s="108">
        <v>101</v>
      </c>
      <c r="E756" s="108">
        <v>2013</v>
      </c>
      <c r="F756" s="109"/>
    </row>
    <row r="757" spans="1:6" ht="16.5" x14ac:dyDescent="0.3">
      <c r="A757" s="106" t="s">
        <v>2334</v>
      </c>
      <c r="B757" s="107" t="s">
        <v>2335</v>
      </c>
      <c r="C757" s="106" t="s">
        <v>879</v>
      </c>
      <c r="D757" s="106" t="s">
        <v>1416</v>
      </c>
      <c r="E757" s="108">
        <v>2001</v>
      </c>
      <c r="F757" s="109"/>
    </row>
    <row r="758" spans="1:6" ht="16.5" x14ac:dyDescent="0.3">
      <c r="A758" s="106" t="s">
        <v>2336</v>
      </c>
      <c r="B758" s="107" t="s">
        <v>2337</v>
      </c>
      <c r="C758" s="106" t="s">
        <v>879</v>
      </c>
      <c r="D758" s="106" t="s">
        <v>1309</v>
      </c>
      <c r="E758" s="108">
        <v>1999</v>
      </c>
      <c r="F758" s="109"/>
    </row>
    <row r="759" spans="1:6" ht="16.5" x14ac:dyDescent="0.3">
      <c r="A759" s="106" t="s">
        <v>2338</v>
      </c>
      <c r="B759" s="107" t="s">
        <v>2339</v>
      </c>
      <c r="C759" s="108">
        <v>3</v>
      </c>
      <c r="D759" s="106" t="s">
        <v>1196</v>
      </c>
      <c r="E759" s="108">
        <v>1987</v>
      </c>
      <c r="F759" s="109"/>
    </row>
    <row r="760" spans="1:6" ht="16.5" x14ac:dyDescent="0.3">
      <c r="A760" s="106" t="s">
        <v>2340</v>
      </c>
      <c r="B760" s="107" t="s">
        <v>2341</v>
      </c>
      <c r="C760" s="106" t="s">
        <v>879</v>
      </c>
      <c r="D760" s="106" t="s">
        <v>1457</v>
      </c>
      <c r="E760" s="108">
        <v>2017</v>
      </c>
      <c r="F760" s="109"/>
    </row>
    <row r="761" spans="1:6" ht="16.5" x14ac:dyDescent="0.3">
      <c r="A761" s="106" t="s">
        <v>2342</v>
      </c>
      <c r="B761" s="107" t="s">
        <v>2343</v>
      </c>
      <c r="C761" s="108">
        <v>1</v>
      </c>
      <c r="D761" s="106" t="s">
        <v>2344</v>
      </c>
      <c r="E761" s="108">
        <v>2012</v>
      </c>
      <c r="F761" s="109"/>
    </row>
    <row r="762" spans="1:6" ht="16.5" x14ac:dyDescent="0.3">
      <c r="A762" s="106" t="s">
        <v>2345</v>
      </c>
      <c r="B762" s="107" t="s">
        <v>2346</v>
      </c>
      <c r="C762" s="106" t="s">
        <v>879</v>
      </c>
      <c r="D762" s="106" t="s">
        <v>1775</v>
      </c>
      <c r="E762" s="108">
        <v>2010</v>
      </c>
      <c r="F762" s="109"/>
    </row>
    <row r="763" spans="1:6" ht="66" x14ac:dyDescent="0.3">
      <c r="A763" s="106" t="s">
        <v>2347</v>
      </c>
      <c r="B763" s="107" t="s">
        <v>2348</v>
      </c>
      <c r="C763" s="106" t="s">
        <v>906</v>
      </c>
      <c r="D763" s="106" t="s">
        <v>2349</v>
      </c>
      <c r="E763" s="108">
        <v>1990</v>
      </c>
      <c r="F763" s="109" t="s">
        <v>1291</v>
      </c>
    </row>
    <row r="764" spans="1:6" ht="16.5" x14ac:dyDescent="0.3">
      <c r="A764" s="106" t="s">
        <v>2350</v>
      </c>
      <c r="B764" s="107" t="s">
        <v>2351</v>
      </c>
      <c r="C764" s="108">
        <v>3</v>
      </c>
      <c r="D764" s="108">
        <v>79</v>
      </c>
      <c r="E764" s="108">
        <v>2001</v>
      </c>
      <c r="F764" s="109"/>
    </row>
    <row r="765" spans="1:6" ht="16.5" x14ac:dyDescent="0.3">
      <c r="A765" s="106" t="s">
        <v>2352</v>
      </c>
      <c r="B765" s="107" t="s">
        <v>2353</v>
      </c>
      <c r="C765" s="108">
        <v>3</v>
      </c>
      <c r="D765" s="106" t="s">
        <v>1205</v>
      </c>
      <c r="E765" s="108">
        <v>1987</v>
      </c>
      <c r="F765" s="109"/>
    </row>
    <row r="766" spans="1:6" ht="16.5" x14ac:dyDescent="0.3">
      <c r="A766" s="106" t="s">
        <v>2354</v>
      </c>
      <c r="B766" s="107" t="s">
        <v>2355</v>
      </c>
      <c r="C766" s="106" t="s">
        <v>879</v>
      </c>
      <c r="D766" s="106" t="s">
        <v>2356</v>
      </c>
      <c r="E766" s="108">
        <v>2018</v>
      </c>
      <c r="F766" s="109"/>
    </row>
    <row r="767" spans="1:6" ht="16.5" x14ac:dyDescent="0.3">
      <c r="A767" s="106" t="s">
        <v>2357</v>
      </c>
      <c r="B767" s="107" t="s">
        <v>2358</v>
      </c>
      <c r="C767" s="108">
        <v>3</v>
      </c>
      <c r="D767" s="106" t="s">
        <v>1041</v>
      </c>
      <c r="E767" s="108">
        <v>1999</v>
      </c>
      <c r="F767" s="109"/>
    </row>
    <row r="768" spans="1:6" ht="16.5" x14ac:dyDescent="0.3">
      <c r="A768" s="106" t="s">
        <v>2359</v>
      </c>
      <c r="B768" s="107" t="s">
        <v>2360</v>
      </c>
      <c r="C768" s="106" t="s">
        <v>879</v>
      </c>
      <c r="D768" s="106" t="s">
        <v>996</v>
      </c>
      <c r="E768" s="108">
        <v>2010</v>
      </c>
      <c r="F768" s="109"/>
    </row>
    <row r="769" spans="1:6" ht="49.5" x14ac:dyDescent="0.3">
      <c r="A769" s="106" t="s">
        <v>2361</v>
      </c>
      <c r="B769" s="107" t="s">
        <v>2362</v>
      </c>
      <c r="C769" s="108">
        <v>3</v>
      </c>
      <c r="D769" s="108">
        <v>129</v>
      </c>
      <c r="E769" s="106" t="s">
        <v>1474</v>
      </c>
      <c r="F769" s="109"/>
    </row>
    <row r="770" spans="1:6" ht="16.5" x14ac:dyDescent="0.3">
      <c r="A770" s="106" t="s">
        <v>2363</v>
      </c>
      <c r="B770" s="107" t="s">
        <v>2364</v>
      </c>
      <c r="C770" s="108">
        <v>3</v>
      </c>
      <c r="D770" s="106" t="s">
        <v>2365</v>
      </c>
      <c r="E770" s="108">
        <v>1999</v>
      </c>
      <c r="F770" s="109"/>
    </row>
    <row r="771" spans="1:6" ht="16.5" x14ac:dyDescent="0.3">
      <c r="A771" s="106" t="s">
        <v>2366</v>
      </c>
      <c r="B771" s="107" t="s">
        <v>2367</v>
      </c>
      <c r="C771" s="106" t="s">
        <v>879</v>
      </c>
      <c r="D771" s="106" t="s">
        <v>1734</v>
      </c>
      <c r="E771" s="108">
        <v>1999</v>
      </c>
      <c r="F771" s="109"/>
    </row>
    <row r="772" spans="1:6" ht="16.5" x14ac:dyDescent="0.3">
      <c r="A772" s="106" t="s">
        <v>2368</v>
      </c>
      <c r="B772" s="107" t="s">
        <v>2369</v>
      </c>
      <c r="C772" s="108">
        <v>3</v>
      </c>
      <c r="D772" s="106" t="s">
        <v>1321</v>
      </c>
      <c r="E772" s="108">
        <v>1987</v>
      </c>
      <c r="F772" s="109"/>
    </row>
    <row r="773" spans="1:6" ht="16.5" x14ac:dyDescent="0.3">
      <c r="A773" s="106" t="s">
        <v>2370</v>
      </c>
      <c r="B773" s="107" t="s">
        <v>2371</v>
      </c>
      <c r="C773" s="106" t="s">
        <v>879</v>
      </c>
      <c r="D773" s="106" t="s">
        <v>2142</v>
      </c>
      <c r="E773" s="108">
        <v>1996</v>
      </c>
      <c r="F773" s="109"/>
    </row>
    <row r="774" spans="1:6" ht="16.5" x14ac:dyDescent="0.3">
      <c r="A774" s="106" t="s">
        <v>2372</v>
      </c>
      <c r="B774" s="107" t="s">
        <v>2373</v>
      </c>
      <c r="C774" s="106" t="s">
        <v>879</v>
      </c>
      <c r="D774" s="106" t="s">
        <v>1734</v>
      </c>
      <c r="E774" s="108">
        <v>1999</v>
      </c>
      <c r="F774" s="109"/>
    </row>
    <row r="775" spans="1:6" ht="66" x14ac:dyDescent="0.3">
      <c r="A775" s="106" t="s">
        <v>2374</v>
      </c>
      <c r="B775" s="107" t="s">
        <v>2375</v>
      </c>
      <c r="C775" s="108">
        <v>3</v>
      </c>
      <c r="D775" s="108">
        <v>79</v>
      </c>
      <c r="E775" s="108">
        <v>2001</v>
      </c>
      <c r="F775" s="109" t="s">
        <v>1782</v>
      </c>
    </row>
    <row r="776" spans="1:6" ht="16.5" x14ac:dyDescent="0.3">
      <c r="A776" s="106" t="s">
        <v>2376</v>
      </c>
      <c r="B776" s="107" t="s">
        <v>2377</v>
      </c>
      <c r="C776" s="106" t="s">
        <v>879</v>
      </c>
      <c r="D776" s="106" t="s">
        <v>2378</v>
      </c>
      <c r="E776" s="108">
        <v>2001</v>
      </c>
      <c r="F776" s="109"/>
    </row>
    <row r="777" spans="1:6" ht="16.5" x14ac:dyDescent="0.3">
      <c r="A777" s="106" t="s">
        <v>2379</v>
      </c>
      <c r="B777" s="107" t="s">
        <v>2380</v>
      </c>
      <c r="C777" s="108">
        <v>3</v>
      </c>
      <c r="D777" s="106" t="s">
        <v>1450</v>
      </c>
      <c r="E777" s="108">
        <v>1987</v>
      </c>
      <c r="F777" s="109"/>
    </row>
    <row r="778" spans="1:6" ht="16.5" x14ac:dyDescent="0.3">
      <c r="A778" s="106" t="s">
        <v>2381</v>
      </c>
      <c r="B778" s="107" t="s">
        <v>2382</v>
      </c>
      <c r="C778" s="106" t="s">
        <v>879</v>
      </c>
      <c r="D778" s="106" t="s">
        <v>2383</v>
      </c>
      <c r="E778" s="108">
        <v>2019</v>
      </c>
      <c r="F778" s="109"/>
    </row>
    <row r="779" spans="1:6" ht="66" x14ac:dyDescent="0.3">
      <c r="A779" s="106" t="s">
        <v>2384</v>
      </c>
      <c r="B779" s="107" t="s">
        <v>2385</v>
      </c>
      <c r="C779" s="108">
        <v>1</v>
      </c>
      <c r="D779" s="106" t="s">
        <v>2386</v>
      </c>
      <c r="E779" s="108">
        <v>2012</v>
      </c>
      <c r="F779" s="109" t="s">
        <v>918</v>
      </c>
    </row>
    <row r="780" spans="1:6" ht="49.5" x14ac:dyDescent="0.3">
      <c r="A780" s="106" t="s">
        <v>2387</v>
      </c>
      <c r="B780" s="107" t="s">
        <v>2388</v>
      </c>
      <c r="C780" s="108">
        <v>1</v>
      </c>
      <c r="D780" s="106" t="s">
        <v>2386</v>
      </c>
      <c r="E780" s="108">
        <v>2012</v>
      </c>
      <c r="F780" s="109" t="s">
        <v>2389</v>
      </c>
    </row>
    <row r="781" spans="1:6" ht="16.5" x14ac:dyDescent="0.3">
      <c r="A781" s="106" t="s">
        <v>2390</v>
      </c>
      <c r="B781" s="107" t="s">
        <v>2391</v>
      </c>
      <c r="C781" s="106" t="s">
        <v>879</v>
      </c>
      <c r="D781" s="106" t="s">
        <v>964</v>
      </c>
      <c r="E781" s="108">
        <v>2014</v>
      </c>
      <c r="F781" s="109"/>
    </row>
    <row r="782" spans="1:6" ht="16.5" x14ac:dyDescent="0.3">
      <c r="A782" s="106" t="s">
        <v>2392</v>
      </c>
      <c r="B782" s="107" t="s">
        <v>2393</v>
      </c>
      <c r="C782" s="108">
        <v>3</v>
      </c>
      <c r="D782" s="108">
        <v>51</v>
      </c>
      <c r="E782" s="108">
        <v>1991</v>
      </c>
      <c r="F782" s="109"/>
    </row>
    <row r="783" spans="1:6" ht="16.5" x14ac:dyDescent="0.3">
      <c r="A783" s="106" t="s">
        <v>2394</v>
      </c>
      <c r="B783" s="107" t="s">
        <v>2395</v>
      </c>
      <c r="C783" s="108">
        <v>3</v>
      </c>
      <c r="D783" s="106" t="s">
        <v>1468</v>
      </c>
      <c r="E783" s="108">
        <v>1987</v>
      </c>
      <c r="F783" s="109"/>
    </row>
    <row r="784" spans="1:6" ht="16.5" x14ac:dyDescent="0.3">
      <c r="A784" s="106" t="s">
        <v>2396</v>
      </c>
      <c r="B784" s="107" t="s">
        <v>2397</v>
      </c>
      <c r="C784" s="108">
        <v>3</v>
      </c>
      <c r="D784" s="108">
        <v>51</v>
      </c>
      <c r="E784" s="108">
        <v>1991</v>
      </c>
      <c r="F784" s="109"/>
    </row>
    <row r="785" spans="1:6" ht="16.5" x14ac:dyDescent="0.3">
      <c r="A785" s="106" t="s">
        <v>2398</v>
      </c>
      <c r="B785" s="107" t="s">
        <v>2399</v>
      </c>
      <c r="C785" s="108">
        <v>1</v>
      </c>
      <c r="D785" s="108">
        <v>113</v>
      </c>
      <c r="E785" s="108">
        <v>2018</v>
      </c>
      <c r="F785" s="109"/>
    </row>
    <row r="786" spans="1:6" ht="16.5" x14ac:dyDescent="0.3">
      <c r="A786" s="106" t="s">
        <v>2400</v>
      </c>
      <c r="B786" s="107" t="s">
        <v>2401</v>
      </c>
      <c r="C786" s="106" t="s">
        <v>879</v>
      </c>
      <c r="D786" s="106" t="s">
        <v>2402</v>
      </c>
      <c r="E786" s="108">
        <v>2016</v>
      </c>
      <c r="F786" s="109"/>
    </row>
    <row r="787" spans="1:6" ht="16.5" x14ac:dyDescent="0.3">
      <c r="A787" s="106" t="s">
        <v>2403</v>
      </c>
      <c r="B787" s="107" t="s">
        <v>2404</v>
      </c>
      <c r="C787" s="108">
        <v>3</v>
      </c>
      <c r="D787" s="108">
        <v>46</v>
      </c>
      <c r="E787" s="108">
        <v>1989</v>
      </c>
      <c r="F787" s="109"/>
    </row>
    <row r="788" spans="1:6" ht="16.5" x14ac:dyDescent="0.3">
      <c r="A788" s="106" t="s">
        <v>2405</v>
      </c>
      <c r="B788" s="107" t="s">
        <v>2406</v>
      </c>
      <c r="C788" s="108">
        <v>3</v>
      </c>
      <c r="D788" s="106" t="s">
        <v>1361</v>
      </c>
      <c r="E788" s="108">
        <v>1987</v>
      </c>
      <c r="F788" s="109"/>
    </row>
    <row r="789" spans="1:6" ht="16.5" x14ac:dyDescent="0.3">
      <c r="A789" s="106" t="s">
        <v>2407</v>
      </c>
      <c r="B789" s="107" t="s">
        <v>2408</v>
      </c>
      <c r="C789" s="108">
        <v>3</v>
      </c>
      <c r="D789" s="108">
        <v>50</v>
      </c>
      <c r="E789" s="108">
        <v>1990</v>
      </c>
      <c r="F789" s="109"/>
    </row>
    <row r="790" spans="1:6" ht="16.5" x14ac:dyDescent="0.3">
      <c r="A790" s="106" t="s">
        <v>2409</v>
      </c>
      <c r="B790" s="107" t="s">
        <v>2410</v>
      </c>
      <c r="C790" s="106" t="s">
        <v>879</v>
      </c>
      <c r="D790" s="106" t="s">
        <v>1188</v>
      </c>
      <c r="E790" s="108">
        <v>1987</v>
      </c>
      <c r="F790" s="109"/>
    </row>
    <row r="791" spans="1:6" ht="16.5" x14ac:dyDescent="0.3">
      <c r="A791" s="106" t="s">
        <v>2411</v>
      </c>
      <c r="B791" s="107" t="s">
        <v>2412</v>
      </c>
      <c r="C791" s="106" t="s">
        <v>879</v>
      </c>
      <c r="D791" s="106" t="s">
        <v>1196</v>
      </c>
      <c r="E791" s="108">
        <v>1987</v>
      </c>
      <c r="F791" s="109"/>
    </row>
    <row r="792" spans="1:6" ht="16.5" x14ac:dyDescent="0.3">
      <c r="A792" s="106" t="s">
        <v>2413</v>
      </c>
      <c r="B792" s="107" t="s">
        <v>2414</v>
      </c>
      <c r="C792" s="108">
        <v>3</v>
      </c>
      <c r="D792" s="108">
        <v>76</v>
      </c>
      <c r="E792" s="108">
        <v>2000</v>
      </c>
      <c r="F792" s="109"/>
    </row>
    <row r="793" spans="1:6" ht="148.5" x14ac:dyDescent="0.3">
      <c r="A793" s="106" t="s">
        <v>2415</v>
      </c>
      <c r="B793" s="107" t="s">
        <v>2416</v>
      </c>
      <c r="C793" s="106" t="s">
        <v>906</v>
      </c>
      <c r="D793" s="106" t="s">
        <v>2417</v>
      </c>
      <c r="E793" s="108">
        <v>2008</v>
      </c>
      <c r="F793" s="109" t="s">
        <v>2418</v>
      </c>
    </row>
    <row r="794" spans="1:6" ht="16.5" x14ac:dyDescent="0.3">
      <c r="A794" s="106" t="s">
        <v>2419</v>
      </c>
      <c r="B794" s="107" t="s">
        <v>2420</v>
      </c>
      <c r="C794" s="108">
        <v>3</v>
      </c>
      <c r="D794" s="106" t="s">
        <v>1335</v>
      </c>
      <c r="E794" s="108">
        <v>1999</v>
      </c>
      <c r="F794" s="109"/>
    </row>
    <row r="795" spans="1:6" ht="115.5" x14ac:dyDescent="0.3">
      <c r="A795" s="106" t="s">
        <v>2421</v>
      </c>
      <c r="B795" s="107" t="s">
        <v>2422</v>
      </c>
      <c r="C795" s="106" t="s">
        <v>906</v>
      </c>
      <c r="D795" s="106" t="s">
        <v>2423</v>
      </c>
      <c r="E795" s="108">
        <v>2016</v>
      </c>
      <c r="F795" s="109" t="s">
        <v>2424</v>
      </c>
    </row>
    <row r="796" spans="1:6" ht="16.5" x14ac:dyDescent="0.3">
      <c r="A796" s="106" t="s">
        <v>2425</v>
      </c>
      <c r="B796" s="107" t="s">
        <v>2426</v>
      </c>
      <c r="C796" s="108">
        <v>3</v>
      </c>
      <c r="D796" s="106" t="s">
        <v>1205</v>
      </c>
      <c r="E796" s="108">
        <v>1987</v>
      </c>
      <c r="F796" s="109"/>
    </row>
    <row r="797" spans="1:6" ht="16.5" x14ac:dyDescent="0.3">
      <c r="A797" s="106" t="s">
        <v>2427</v>
      </c>
      <c r="B797" s="107" t="s">
        <v>2428</v>
      </c>
      <c r="C797" s="108">
        <v>3</v>
      </c>
      <c r="D797" s="108">
        <v>57</v>
      </c>
      <c r="E797" s="108">
        <v>1993</v>
      </c>
      <c r="F797" s="109"/>
    </row>
    <row r="798" spans="1:6" ht="33" x14ac:dyDescent="0.3">
      <c r="A798" s="106" t="s">
        <v>2429</v>
      </c>
      <c r="B798" s="107" t="s">
        <v>2430</v>
      </c>
      <c r="C798" s="106"/>
      <c r="D798" s="106"/>
      <c r="E798" s="106"/>
      <c r="F798" s="109"/>
    </row>
    <row r="799" spans="1:6" ht="33" x14ac:dyDescent="0.3">
      <c r="A799" s="106" t="s">
        <v>2429</v>
      </c>
      <c r="B799" s="107" t="s">
        <v>2431</v>
      </c>
      <c r="C799" s="108">
        <v>1</v>
      </c>
      <c r="D799" s="106" t="s">
        <v>2432</v>
      </c>
      <c r="E799" s="108">
        <v>2012</v>
      </c>
      <c r="F799" s="109"/>
    </row>
    <row r="800" spans="1:6" ht="66" x14ac:dyDescent="0.3">
      <c r="A800" s="106" t="s">
        <v>2433</v>
      </c>
      <c r="B800" s="107" t="s">
        <v>2434</v>
      </c>
      <c r="C800" s="108">
        <v>3</v>
      </c>
      <c r="D800" s="106" t="s">
        <v>2435</v>
      </c>
      <c r="E800" s="108">
        <v>1999</v>
      </c>
      <c r="F800" s="109" t="s">
        <v>1782</v>
      </c>
    </row>
    <row r="801" spans="1:6" ht="16.5" x14ac:dyDescent="0.3">
      <c r="A801" s="106" t="s">
        <v>2436</v>
      </c>
      <c r="B801" s="107" t="s">
        <v>2437</v>
      </c>
      <c r="C801" s="106" t="s">
        <v>879</v>
      </c>
      <c r="D801" s="108">
        <v>108</v>
      </c>
      <c r="E801" s="108">
        <v>2016</v>
      </c>
      <c r="F801" s="109"/>
    </row>
    <row r="802" spans="1:6" ht="16.5" x14ac:dyDescent="0.3">
      <c r="A802" s="106" t="s">
        <v>2438</v>
      </c>
      <c r="B802" s="107" t="s">
        <v>2439</v>
      </c>
      <c r="C802" s="106" t="s">
        <v>879</v>
      </c>
      <c r="D802" s="106" t="s">
        <v>1239</v>
      </c>
      <c r="E802" s="108">
        <v>1987</v>
      </c>
      <c r="F802" s="109"/>
    </row>
    <row r="803" spans="1:6" ht="16.5" x14ac:dyDescent="0.3">
      <c r="A803" s="106" t="s">
        <v>2440</v>
      </c>
      <c r="B803" s="107" t="s">
        <v>2441</v>
      </c>
      <c r="C803" s="106" t="s">
        <v>879</v>
      </c>
      <c r="D803" s="106" t="s">
        <v>1239</v>
      </c>
      <c r="E803" s="108">
        <v>1987</v>
      </c>
      <c r="F803" s="109"/>
    </row>
    <row r="804" spans="1:6" ht="16.5" x14ac:dyDescent="0.3">
      <c r="A804" s="106" t="s">
        <v>2442</v>
      </c>
      <c r="B804" s="107" t="s">
        <v>2443</v>
      </c>
      <c r="C804" s="106" t="s">
        <v>879</v>
      </c>
      <c r="D804" s="106" t="s">
        <v>2444</v>
      </c>
      <c r="E804" s="108">
        <v>1999</v>
      </c>
      <c r="F804" s="109"/>
    </row>
    <row r="805" spans="1:6" ht="16.5" x14ac:dyDescent="0.3">
      <c r="A805" s="106" t="s">
        <v>2445</v>
      </c>
      <c r="B805" s="107" t="s">
        <v>2446</v>
      </c>
      <c r="C805" s="108">
        <v>3</v>
      </c>
      <c r="D805" s="108">
        <v>79</v>
      </c>
      <c r="E805" s="108">
        <v>2001</v>
      </c>
      <c r="F805" s="109"/>
    </row>
    <row r="806" spans="1:6" ht="16.5" x14ac:dyDescent="0.3">
      <c r="A806" s="106" t="s">
        <v>2447</v>
      </c>
      <c r="B806" s="107" t="s">
        <v>2448</v>
      </c>
      <c r="C806" s="106"/>
      <c r="D806" s="106"/>
      <c r="E806" s="106"/>
      <c r="F806" s="109"/>
    </row>
    <row r="807" spans="1:6" ht="33" x14ac:dyDescent="0.3">
      <c r="A807" s="106" t="s">
        <v>2449</v>
      </c>
      <c r="B807" s="107" t="s">
        <v>2450</v>
      </c>
      <c r="C807" s="106" t="s">
        <v>906</v>
      </c>
      <c r="D807" s="106" t="s">
        <v>2451</v>
      </c>
      <c r="E807" s="108">
        <v>2019</v>
      </c>
      <c r="F807" s="109"/>
    </row>
    <row r="808" spans="1:6" ht="16.5" x14ac:dyDescent="0.3">
      <c r="A808" s="106" t="s">
        <v>2452</v>
      </c>
      <c r="B808" s="107" t="s">
        <v>2453</v>
      </c>
      <c r="C808" s="108">
        <v>3</v>
      </c>
      <c r="D808" s="106" t="s">
        <v>1450</v>
      </c>
      <c r="E808" s="108">
        <v>1987</v>
      </c>
      <c r="F808" s="109"/>
    </row>
    <row r="809" spans="1:6" ht="16.5" x14ac:dyDescent="0.3">
      <c r="A809" s="106" t="s">
        <v>2454</v>
      </c>
      <c r="B809" s="107" t="s">
        <v>2455</v>
      </c>
      <c r="C809" s="106" t="s">
        <v>879</v>
      </c>
      <c r="D809" s="106" t="s">
        <v>2327</v>
      </c>
      <c r="E809" s="108">
        <v>2004</v>
      </c>
      <c r="F809" s="109"/>
    </row>
    <row r="810" spans="1:6" ht="16.5" x14ac:dyDescent="0.3">
      <c r="A810" s="106" t="s">
        <v>2456</v>
      </c>
      <c r="B810" s="107" t="s">
        <v>2457</v>
      </c>
      <c r="C810" s="108">
        <v>3</v>
      </c>
      <c r="D810" s="106" t="s">
        <v>1071</v>
      </c>
      <c r="E810" s="108">
        <v>1987</v>
      </c>
      <c r="F810" s="109"/>
    </row>
    <row r="811" spans="1:6" ht="16.5" x14ac:dyDescent="0.3">
      <c r="A811" s="106" t="s">
        <v>2458</v>
      </c>
      <c r="B811" s="107" t="s">
        <v>2459</v>
      </c>
      <c r="C811" s="106" t="s">
        <v>879</v>
      </c>
      <c r="D811" s="106" t="s">
        <v>1280</v>
      </c>
      <c r="E811" s="108">
        <v>1987</v>
      </c>
      <c r="F811" s="109"/>
    </row>
    <row r="812" spans="1:6" ht="16.5" x14ac:dyDescent="0.3">
      <c r="A812" s="106" t="s">
        <v>2460</v>
      </c>
      <c r="B812" s="107" t="s">
        <v>2461</v>
      </c>
      <c r="C812" s="108">
        <v>3</v>
      </c>
      <c r="D812" s="108">
        <v>129</v>
      </c>
      <c r="E812" s="106" t="s">
        <v>1474</v>
      </c>
      <c r="F812" s="109"/>
    </row>
    <row r="813" spans="1:6" ht="16.5" x14ac:dyDescent="0.3">
      <c r="A813" s="106" t="s">
        <v>2462</v>
      </c>
      <c r="B813" s="107" t="s">
        <v>2463</v>
      </c>
      <c r="C813" s="106" t="s">
        <v>879</v>
      </c>
      <c r="D813" s="106" t="s">
        <v>2142</v>
      </c>
      <c r="E813" s="108">
        <v>1996</v>
      </c>
      <c r="F813" s="109"/>
    </row>
    <row r="814" spans="1:6" ht="16.5" x14ac:dyDescent="0.3">
      <c r="A814" s="106" t="s">
        <v>2464</v>
      </c>
      <c r="B814" s="107" t="s">
        <v>2465</v>
      </c>
      <c r="C814" s="106" t="s">
        <v>879</v>
      </c>
      <c r="D814" s="108">
        <v>65</v>
      </c>
      <c r="E814" s="108">
        <v>1996</v>
      </c>
      <c r="F814" s="109"/>
    </row>
    <row r="815" spans="1:6" ht="16.5" x14ac:dyDescent="0.3">
      <c r="A815" s="106" t="s">
        <v>2466</v>
      </c>
      <c r="B815" s="107" t="s">
        <v>2467</v>
      </c>
      <c r="C815" s="106" t="s">
        <v>879</v>
      </c>
      <c r="D815" s="106" t="s">
        <v>964</v>
      </c>
      <c r="E815" s="108">
        <v>2014</v>
      </c>
      <c r="F815" s="109"/>
    </row>
    <row r="816" spans="1:6" ht="16.5" x14ac:dyDescent="0.3">
      <c r="A816" s="106" t="s">
        <v>2468</v>
      </c>
      <c r="B816" s="107" t="s">
        <v>2469</v>
      </c>
      <c r="C816" s="108">
        <v>3</v>
      </c>
      <c r="D816" s="106" t="s">
        <v>1216</v>
      </c>
      <c r="E816" s="108">
        <v>1987</v>
      </c>
      <c r="F816" s="109"/>
    </row>
    <row r="817" spans="1:6" ht="16.5" x14ac:dyDescent="0.3">
      <c r="A817" s="106" t="s">
        <v>2470</v>
      </c>
      <c r="B817" s="107" t="s">
        <v>2471</v>
      </c>
      <c r="C817" s="106" t="s">
        <v>879</v>
      </c>
      <c r="D817" s="106" t="s">
        <v>1468</v>
      </c>
      <c r="E817" s="108">
        <v>1987</v>
      </c>
      <c r="F817" s="109"/>
    </row>
    <row r="818" spans="1:6" ht="66" x14ac:dyDescent="0.3">
      <c r="A818" s="106" t="s">
        <v>2472</v>
      </c>
      <c r="B818" s="107" t="s">
        <v>2473</v>
      </c>
      <c r="C818" s="108">
        <v>3</v>
      </c>
      <c r="D818" s="106" t="s">
        <v>2474</v>
      </c>
      <c r="E818" s="108">
        <v>2001</v>
      </c>
      <c r="F818" s="109" t="s">
        <v>1782</v>
      </c>
    </row>
    <row r="819" spans="1:6" ht="16.5" x14ac:dyDescent="0.3">
      <c r="A819" s="106" t="s">
        <v>2475</v>
      </c>
      <c r="B819" s="107" t="s">
        <v>2476</v>
      </c>
      <c r="C819" s="106" t="s">
        <v>879</v>
      </c>
      <c r="D819" s="108">
        <v>123</v>
      </c>
      <c r="E819" s="106" t="s">
        <v>1083</v>
      </c>
      <c r="F819" s="109"/>
    </row>
    <row r="820" spans="1:6" ht="16.5" x14ac:dyDescent="0.3">
      <c r="A820" s="106" t="s">
        <v>2477</v>
      </c>
      <c r="B820" s="107" t="s">
        <v>2478</v>
      </c>
      <c r="C820" s="106" t="s">
        <v>879</v>
      </c>
      <c r="D820" s="106" t="s">
        <v>1280</v>
      </c>
      <c r="E820" s="108">
        <v>1987</v>
      </c>
      <c r="F820" s="109"/>
    </row>
    <row r="821" spans="1:6" ht="16.5" x14ac:dyDescent="0.3">
      <c r="A821" s="106" t="s">
        <v>2479</v>
      </c>
      <c r="B821" s="107" t="s">
        <v>2480</v>
      </c>
      <c r="C821" s="106" t="s">
        <v>879</v>
      </c>
      <c r="D821" s="106" t="s">
        <v>1416</v>
      </c>
      <c r="E821" s="108">
        <v>2001</v>
      </c>
      <c r="F821" s="109"/>
    </row>
    <row r="822" spans="1:6" ht="16.5" x14ac:dyDescent="0.3">
      <c r="A822" s="106" t="s">
        <v>2481</v>
      </c>
      <c r="B822" s="107" t="s">
        <v>2482</v>
      </c>
      <c r="C822" s="106" t="s">
        <v>879</v>
      </c>
      <c r="D822" s="108">
        <v>123</v>
      </c>
      <c r="E822" s="106" t="s">
        <v>1083</v>
      </c>
      <c r="F822" s="109"/>
    </row>
    <row r="823" spans="1:6" ht="16.5" x14ac:dyDescent="0.3">
      <c r="A823" s="106" t="s">
        <v>2483</v>
      </c>
      <c r="B823" s="107" t="s">
        <v>2484</v>
      </c>
      <c r="C823" s="106" t="s">
        <v>879</v>
      </c>
      <c r="D823" s="106" t="s">
        <v>1429</v>
      </c>
      <c r="E823" s="108">
        <v>1987</v>
      </c>
      <c r="F823" s="109"/>
    </row>
    <row r="824" spans="1:6" ht="16.5" x14ac:dyDescent="0.3">
      <c r="A824" s="106" t="s">
        <v>2485</v>
      </c>
      <c r="B824" s="107" t="s">
        <v>2486</v>
      </c>
      <c r="C824" s="108">
        <v>3</v>
      </c>
      <c r="D824" s="106" t="s">
        <v>1390</v>
      </c>
      <c r="E824" s="108">
        <v>1987</v>
      </c>
      <c r="F824" s="109"/>
    </row>
    <row r="825" spans="1:6" ht="16.5" x14ac:dyDescent="0.3">
      <c r="A825" s="106" t="s">
        <v>2487</v>
      </c>
      <c r="B825" s="107" t="s">
        <v>2488</v>
      </c>
      <c r="C825" s="108">
        <v>3</v>
      </c>
      <c r="D825" s="108">
        <v>65</v>
      </c>
      <c r="E825" s="108">
        <v>1996</v>
      </c>
      <c r="F825" s="109"/>
    </row>
    <row r="826" spans="1:6" ht="66" x14ac:dyDescent="0.3">
      <c r="A826" s="106" t="s">
        <v>2489</v>
      </c>
      <c r="B826" s="107" t="s">
        <v>2490</v>
      </c>
      <c r="C826" s="108">
        <v>1</v>
      </c>
      <c r="D826" s="106" t="s">
        <v>2005</v>
      </c>
      <c r="E826" s="108">
        <v>2012</v>
      </c>
      <c r="F826" s="109" t="s">
        <v>1077</v>
      </c>
    </row>
    <row r="827" spans="1:6" ht="16.5" x14ac:dyDescent="0.3">
      <c r="A827" s="106" t="s">
        <v>2491</v>
      </c>
      <c r="B827" s="107" t="s">
        <v>2492</v>
      </c>
      <c r="C827" s="106" t="s">
        <v>879</v>
      </c>
      <c r="D827" s="106" t="s">
        <v>1955</v>
      </c>
      <c r="E827" s="108">
        <v>1987</v>
      </c>
      <c r="F827" s="109"/>
    </row>
    <row r="828" spans="1:6" ht="16.5" x14ac:dyDescent="0.3">
      <c r="A828" s="106" t="s">
        <v>2493</v>
      </c>
      <c r="B828" s="107" t="s">
        <v>2494</v>
      </c>
      <c r="C828" s="106" t="s">
        <v>906</v>
      </c>
      <c r="D828" s="106" t="s">
        <v>2495</v>
      </c>
      <c r="E828" s="106" t="s">
        <v>911</v>
      </c>
      <c r="F828" s="109"/>
    </row>
    <row r="829" spans="1:6" ht="16.5" x14ac:dyDescent="0.3">
      <c r="A829" s="106" t="s">
        <v>2496</v>
      </c>
      <c r="B829" s="107" t="s">
        <v>2497</v>
      </c>
      <c r="C829" s="106" t="s">
        <v>879</v>
      </c>
      <c r="D829" s="106" t="s">
        <v>1955</v>
      </c>
      <c r="E829" s="108">
        <v>1987</v>
      </c>
      <c r="F829" s="109"/>
    </row>
    <row r="830" spans="1:6" ht="16.5" x14ac:dyDescent="0.3">
      <c r="A830" s="106" t="s">
        <v>2498</v>
      </c>
      <c r="B830" s="107" t="s">
        <v>2499</v>
      </c>
      <c r="C830" s="108">
        <v>3</v>
      </c>
      <c r="D830" s="106" t="s">
        <v>1416</v>
      </c>
      <c r="E830" s="108">
        <v>2001</v>
      </c>
      <c r="F830" s="109"/>
    </row>
    <row r="831" spans="1:6" ht="16.5" x14ac:dyDescent="0.3">
      <c r="A831" s="106" t="s">
        <v>2500</v>
      </c>
      <c r="B831" s="107" t="s">
        <v>2501</v>
      </c>
      <c r="C831" s="106" t="s">
        <v>879</v>
      </c>
      <c r="D831" s="106" t="s">
        <v>1613</v>
      </c>
      <c r="E831" s="108">
        <v>1991</v>
      </c>
      <c r="F831" s="109"/>
    </row>
    <row r="832" spans="1:6" ht="66" x14ac:dyDescent="0.3">
      <c r="A832" s="106" t="s">
        <v>2502</v>
      </c>
      <c r="B832" s="107" t="s">
        <v>2503</v>
      </c>
      <c r="C832" s="106" t="s">
        <v>906</v>
      </c>
      <c r="D832" s="106" t="s">
        <v>1188</v>
      </c>
      <c r="E832" s="108">
        <v>1987</v>
      </c>
      <c r="F832" s="109" t="s">
        <v>1291</v>
      </c>
    </row>
    <row r="833" spans="1:6" ht="16.5" x14ac:dyDescent="0.3">
      <c r="A833" s="106" t="s">
        <v>2504</v>
      </c>
      <c r="B833" s="107" t="s">
        <v>2505</v>
      </c>
      <c r="C833" s="106" t="s">
        <v>879</v>
      </c>
      <c r="D833" s="106" t="s">
        <v>1188</v>
      </c>
      <c r="E833" s="108">
        <v>1987</v>
      </c>
      <c r="F833" s="109"/>
    </row>
    <row r="834" spans="1:6" ht="16.5" x14ac:dyDescent="0.3">
      <c r="A834" s="106" t="s">
        <v>2506</v>
      </c>
      <c r="B834" s="107" t="s">
        <v>2507</v>
      </c>
      <c r="C834" s="106" t="s">
        <v>879</v>
      </c>
      <c r="D834" s="106" t="s">
        <v>1450</v>
      </c>
      <c r="E834" s="108">
        <v>1987</v>
      </c>
      <c r="F834" s="109"/>
    </row>
    <row r="835" spans="1:6" ht="16.5" x14ac:dyDescent="0.3">
      <c r="A835" s="106" t="s">
        <v>2508</v>
      </c>
      <c r="B835" s="107" t="s">
        <v>2509</v>
      </c>
      <c r="C835" s="106" t="s">
        <v>879</v>
      </c>
      <c r="D835" s="106" t="s">
        <v>1450</v>
      </c>
      <c r="E835" s="108">
        <v>1987</v>
      </c>
      <c r="F835" s="109"/>
    </row>
    <row r="836" spans="1:6" ht="16.5" x14ac:dyDescent="0.3">
      <c r="A836" s="106" t="s">
        <v>2510</v>
      </c>
      <c r="B836" s="107" t="s">
        <v>2511</v>
      </c>
      <c r="C836" s="108">
        <v>3</v>
      </c>
      <c r="D836" s="106" t="s">
        <v>1205</v>
      </c>
      <c r="E836" s="108">
        <v>1987</v>
      </c>
      <c r="F836" s="109"/>
    </row>
    <row r="837" spans="1:6" ht="16.5" x14ac:dyDescent="0.3">
      <c r="A837" s="106" t="s">
        <v>2512</v>
      </c>
      <c r="B837" s="107" t="s">
        <v>2513</v>
      </c>
      <c r="C837" s="108">
        <v>3</v>
      </c>
      <c r="D837" s="106" t="s">
        <v>1205</v>
      </c>
      <c r="E837" s="108">
        <v>1987</v>
      </c>
      <c r="F837" s="109"/>
    </row>
    <row r="838" spans="1:6" ht="16.5" x14ac:dyDescent="0.3">
      <c r="A838" s="106" t="s">
        <v>2514</v>
      </c>
      <c r="B838" s="107" t="s">
        <v>2515</v>
      </c>
      <c r="C838" s="106" t="s">
        <v>879</v>
      </c>
      <c r="D838" s="106" t="s">
        <v>1119</v>
      </c>
      <c r="E838" s="108">
        <v>1987</v>
      </c>
      <c r="F838" s="109"/>
    </row>
    <row r="839" spans="1:6" ht="16.5" x14ac:dyDescent="0.3">
      <c r="A839" s="106" t="s">
        <v>2516</v>
      </c>
      <c r="B839" s="107" t="s">
        <v>2517</v>
      </c>
      <c r="C839" s="106" t="s">
        <v>879</v>
      </c>
      <c r="D839" s="106" t="s">
        <v>2518</v>
      </c>
      <c r="E839" s="108">
        <v>2014</v>
      </c>
      <c r="F839" s="109"/>
    </row>
    <row r="840" spans="1:6" ht="16.5" x14ac:dyDescent="0.3">
      <c r="A840" s="106" t="s">
        <v>2519</v>
      </c>
      <c r="B840" s="107" t="s">
        <v>2520</v>
      </c>
      <c r="C840" s="108">
        <v>3</v>
      </c>
      <c r="D840" s="106" t="s">
        <v>2521</v>
      </c>
      <c r="E840" s="108">
        <v>1989</v>
      </c>
      <c r="F840" s="109"/>
    </row>
    <row r="841" spans="1:6" ht="16.5" x14ac:dyDescent="0.3">
      <c r="A841" s="106" t="s">
        <v>2522</v>
      </c>
      <c r="B841" s="107" t="s">
        <v>2523</v>
      </c>
      <c r="C841" s="106" t="s">
        <v>879</v>
      </c>
      <c r="D841" s="108">
        <v>101</v>
      </c>
      <c r="E841" s="108">
        <v>2013</v>
      </c>
      <c r="F841" s="109"/>
    </row>
    <row r="842" spans="1:6" ht="16.5" x14ac:dyDescent="0.3">
      <c r="A842" s="106" t="s">
        <v>2524</v>
      </c>
      <c r="B842" s="107" t="s">
        <v>2525</v>
      </c>
      <c r="C842" s="106" t="s">
        <v>879</v>
      </c>
      <c r="D842" s="106" t="s">
        <v>1059</v>
      </c>
      <c r="E842" s="108">
        <v>2012</v>
      </c>
      <c r="F842" s="109"/>
    </row>
    <row r="843" spans="1:6" ht="16.5" x14ac:dyDescent="0.3">
      <c r="A843" s="106" t="s">
        <v>2526</v>
      </c>
      <c r="B843" s="107" t="s">
        <v>2527</v>
      </c>
      <c r="C843" s="106" t="s">
        <v>879</v>
      </c>
      <c r="D843" s="106" t="s">
        <v>1239</v>
      </c>
      <c r="E843" s="108">
        <v>1987</v>
      </c>
      <c r="F843" s="109"/>
    </row>
    <row r="844" spans="1:6" ht="16.5" x14ac:dyDescent="0.3">
      <c r="A844" s="106" t="s">
        <v>2528</v>
      </c>
      <c r="B844" s="107" t="s">
        <v>2529</v>
      </c>
      <c r="C844" s="108">
        <v>3</v>
      </c>
      <c r="D844" s="106" t="s">
        <v>1239</v>
      </c>
      <c r="E844" s="108">
        <v>1987</v>
      </c>
      <c r="F844" s="109"/>
    </row>
    <row r="845" spans="1:6" ht="16.5" x14ac:dyDescent="0.3">
      <c r="A845" s="106" t="s">
        <v>2530</v>
      </c>
      <c r="B845" s="107" t="s">
        <v>2531</v>
      </c>
      <c r="C845" s="108">
        <v>3</v>
      </c>
      <c r="D845" s="106" t="s">
        <v>2142</v>
      </c>
      <c r="E845" s="108">
        <v>1996</v>
      </c>
      <c r="F845" s="109"/>
    </row>
    <row r="846" spans="1:6" ht="16.5" x14ac:dyDescent="0.3">
      <c r="A846" s="106" t="s">
        <v>2532</v>
      </c>
      <c r="B846" s="107" t="s">
        <v>2533</v>
      </c>
      <c r="C846" s="108">
        <v>3</v>
      </c>
      <c r="D846" s="108">
        <v>57</v>
      </c>
      <c r="E846" s="108">
        <v>1993</v>
      </c>
      <c r="F846" s="109"/>
    </row>
    <row r="847" spans="1:6" ht="16.5" x14ac:dyDescent="0.3">
      <c r="A847" s="106" t="s">
        <v>2534</v>
      </c>
      <c r="B847" s="107" t="s">
        <v>2535</v>
      </c>
      <c r="C847" s="108">
        <v>1</v>
      </c>
      <c r="D847" s="106" t="s">
        <v>2536</v>
      </c>
      <c r="E847" s="108">
        <v>2012</v>
      </c>
      <c r="F847" s="109"/>
    </row>
    <row r="848" spans="1:6" ht="66" x14ac:dyDescent="0.3">
      <c r="A848" s="106" t="s">
        <v>2537</v>
      </c>
      <c r="B848" s="107" t="s">
        <v>2538</v>
      </c>
      <c r="C848" s="106" t="s">
        <v>906</v>
      </c>
      <c r="D848" s="106" t="s">
        <v>1998</v>
      </c>
      <c r="E848" s="108">
        <v>1999</v>
      </c>
      <c r="F848" s="109" t="s">
        <v>1291</v>
      </c>
    </row>
    <row r="849" spans="1:6" ht="16.5" x14ac:dyDescent="0.3">
      <c r="A849" s="106" t="s">
        <v>2539</v>
      </c>
      <c r="B849" s="107" t="s">
        <v>2540</v>
      </c>
      <c r="C849" s="108">
        <v>3</v>
      </c>
      <c r="D849" s="108">
        <v>92</v>
      </c>
      <c r="E849" s="108">
        <v>2010</v>
      </c>
      <c r="F849" s="109"/>
    </row>
    <row r="850" spans="1:6" ht="16.5" x14ac:dyDescent="0.3">
      <c r="A850" s="106" t="s">
        <v>2541</v>
      </c>
      <c r="B850" s="107" t="s">
        <v>2542</v>
      </c>
      <c r="C850" s="108">
        <v>3</v>
      </c>
      <c r="D850" s="106" t="s">
        <v>1239</v>
      </c>
      <c r="E850" s="108">
        <v>1987</v>
      </c>
      <c r="F850" s="109"/>
    </row>
    <row r="851" spans="1:6" ht="33" x14ac:dyDescent="0.3">
      <c r="A851" s="106" t="s">
        <v>2543</v>
      </c>
      <c r="B851" s="107" t="s">
        <v>2544</v>
      </c>
      <c r="C851" s="108">
        <v>3</v>
      </c>
      <c r="D851" s="106" t="s">
        <v>1051</v>
      </c>
      <c r="E851" s="108">
        <v>2012</v>
      </c>
      <c r="F851" s="109"/>
    </row>
    <row r="852" spans="1:6" ht="16.5" x14ac:dyDescent="0.3">
      <c r="A852" s="106" t="s">
        <v>2545</v>
      </c>
      <c r="B852" s="107" t="s">
        <v>2546</v>
      </c>
      <c r="C852" s="106" t="s">
        <v>879</v>
      </c>
      <c r="D852" s="108">
        <v>57</v>
      </c>
      <c r="E852" s="108">
        <v>1993</v>
      </c>
      <c r="F852" s="109"/>
    </row>
    <row r="853" spans="1:6" ht="33" x14ac:dyDescent="0.3">
      <c r="A853" s="106" t="s">
        <v>2547</v>
      </c>
      <c r="B853" s="107" t="s">
        <v>2548</v>
      </c>
      <c r="C853" s="106" t="s">
        <v>906</v>
      </c>
      <c r="D853" s="108">
        <v>103</v>
      </c>
      <c r="E853" s="108">
        <v>2013</v>
      </c>
      <c r="F853" s="109"/>
    </row>
    <row r="854" spans="1:6" ht="16.5" x14ac:dyDescent="0.3">
      <c r="A854" s="106" t="s">
        <v>2549</v>
      </c>
      <c r="B854" s="107" t="s">
        <v>2550</v>
      </c>
      <c r="C854" s="106" t="s">
        <v>879</v>
      </c>
      <c r="D854" s="108">
        <v>76</v>
      </c>
      <c r="E854" s="108">
        <v>2000</v>
      </c>
      <c r="F854" s="109"/>
    </row>
    <row r="855" spans="1:6" ht="16.5" x14ac:dyDescent="0.3">
      <c r="A855" s="106" t="s">
        <v>2551</v>
      </c>
      <c r="B855" s="107" t="s">
        <v>2552</v>
      </c>
      <c r="C855" s="108">
        <v>1</v>
      </c>
      <c r="D855" s="106" t="s">
        <v>2553</v>
      </c>
      <c r="E855" s="108">
        <v>2012</v>
      </c>
      <c r="F855" s="109"/>
    </row>
    <row r="856" spans="1:6" ht="66" x14ac:dyDescent="0.3">
      <c r="A856" s="106" t="s">
        <v>2554</v>
      </c>
      <c r="B856" s="107" t="s">
        <v>2555</v>
      </c>
      <c r="C856" s="106" t="s">
        <v>906</v>
      </c>
      <c r="D856" s="106" t="s">
        <v>2444</v>
      </c>
      <c r="E856" s="108">
        <v>1999</v>
      </c>
      <c r="F856" s="109" t="s">
        <v>1291</v>
      </c>
    </row>
    <row r="857" spans="1:6" ht="16.5" x14ac:dyDescent="0.3">
      <c r="A857" s="106" t="s">
        <v>2556</v>
      </c>
      <c r="B857" s="107" t="s">
        <v>2557</v>
      </c>
      <c r="C857" s="106" t="s">
        <v>879</v>
      </c>
      <c r="D857" s="106" t="s">
        <v>1321</v>
      </c>
      <c r="E857" s="108">
        <v>1987</v>
      </c>
      <c r="F857" s="109"/>
    </row>
    <row r="858" spans="1:6" ht="16.5" x14ac:dyDescent="0.3">
      <c r="A858" s="106" t="s">
        <v>2558</v>
      </c>
      <c r="B858" s="107" t="s">
        <v>2559</v>
      </c>
      <c r="C858" s="108">
        <v>1</v>
      </c>
      <c r="D858" s="106" t="s">
        <v>2560</v>
      </c>
      <c r="E858" s="108">
        <v>2012</v>
      </c>
      <c r="F858" s="109"/>
    </row>
    <row r="859" spans="1:6" ht="16.5" x14ac:dyDescent="0.3">
      <c r="A859" s="106" t="s">
        <v>2561</v>
      </c>
      <c r="B859" s="107" t="s">
        <v>2562</v>
      </c>
      <c r="C859" s="108">
        <v>3</v>
      </c>
      <c r="D859" s="108">
        <v>50</v>
      </c>
      <c r="E859" s="108">
        <v>1990</v>
      </c>
      <c r="F859" s="109"/>
    </row>
    <row r="860" spans="1:6" ht="16.5" x14ac:dyDescent="0.3">
      <c r="A860" s="106" t="s">
        <v>2563</v>
      </c>
      <c r="B860" s="107" t="s">
        <v>2564</v>
      </c>
      <c r="C860" s="108">
        <v>3</v>
      </c>
      <c r="D860" s="106" t="s">
        <v>1450</v>
      </c>
      <c r="E860" s="108">
        <v>1987</v>
      </c>
      <c r="F860" s="109"/>
    </row>
    <row r="861" spans="1:6" ht="16.5" x14ac:dyDescent="0.3">
      <c r="A861" s="106" t="s">
        <v>2565</v>
      </c>
      <c r="B861" s="107" t="s">
        <v>2566</v>
      </c>
      <c r="C861" s="108">
        <v>3</v>
      </c>
      <c r="D861" s="106" t="s">
        <v>1041</v>
      </c>
      <c r="E861" s="108">
        <v>1999</v>
      </c>
      <c r="F861" s="109"/>
    </row>
    <row r="862" spans="1:6" ht="16.5" x14ac:dyDescent="0.3">
      <c r="A862" s="106" t="s">
        <v>2567</v>
      </c>
      <c r="B862" s="107" t="s">
        <v>2568</v>
      </c>
      <c r="C862" s="106" t="s">
        <v>879</v>
      </c>
      <c r="D862" s="106" t="s">
        <v>1275</v>
      </c>
      <c r="E862" s="108">
        <v>1999</v>
      </c>
      <c r="F862" s="109"/>
    </row>
    <row r="863" spans="1:6" ht="16.5" x14ac:dyDescent="0.3">
      <c r="A863" s="106" t="s">
        <v>2569</v>
      </c>
      <c r="B863" s="107" t="s">
        <v>2570</v>
      </c>
      <c r="C863" s="106" t="s">
        <v>879</v>
      </c>
      <c r="D863" s="108">
        <v>73</v>
      </c>
      <c r="E863" s="108">
        <v>1999</v>
      </c>
      <c r="F863" s="109"/>
    </row>
    <row r="864" spans="1:6" ht="16.5" x14ac:dyDescent="0.3">
      <c r="A864" s="106" t="s">
        <v>2571</v>
      </c>
      <c r="B864" s="107" t="s">
        <v>2572</v>
      </c>
      <c r="C864" s="106" t="s">
        <v>879</v>
      </c>
      <c r="D864" s="106" t="s">
        <v>929</v>
      </c>
      <c r="E864" s="108">
        <v>1987</v>
      </c>
      <c r="F864" s="109"/>
    </row>
    <row r="865" spans="1:6" ht="16.5" x14ac:dyDescent="0.3">
      <c r="A865" s="106" t="s">
        <v>2573</v>
      </c>
      <c r="B865" s="107" t="s">
        <v>2574</v>
      </c>
      <c r="C865" s="106" t="s">
        <v>879</v>
      </c>
      <c r="D865" s="106" t="s">
        <v>929</v>
      </c>
      <c r="E865" s="108">
        <v>1987</v>
      </c>
      <c r="F865" s="109"/>
    </row>
    <row r="866" spans="1:6" ht="16.5" x14ac:dyDescent="0.3">
      <c r="A866" s="106" t="s">
        <v>2575</v>
      </c>
      <c r="B866" s="107" t="s">
        <v>2576</v>
      </c>
      <c r="C866" s="106" t="s">
        <v>906</v>
      </c>
      <c r="D866" s="106" t="s">
        <v>2577</v>
      </c>
      <c r="E866" s="108">
        <v>2018</v>
      </c>
      <c r="F866" s="109"/>
    </row>
    <row r="867" spans="1:6" ht="16.5" x14ac:dyDescent="0.3">
      <c r="A867" s="106" t="s">
        <v>2578</v>
      </c>
      <c r="B867" s="107" t="s">
        <v>2579</v>
      </c>
      <c r="C867" s="108">
        <v>3</v>
      </c>
      <c r="D867" s="106" t="s">
        <v>1321</v>
      </c>
      <c r="E867" s="108">
        <v>1987</v>
      </c>
      <c r="F867" s="109"/>
    </row>
    <row r="868" spans="1:6" ht="16.5" x14ac:dyDescent="0.3">
      <c r="A868" s="106" t="s">
        <v>2580</v>
      </c>
      <c r="B868" s="107" t="s">
        <v>2581</v>
      </c>
      <c r="C868" s="106" t="s">
        <v>879</v>
      </c>
      <c r="D868" s="106" t="s">
        <v>1041</v>
      </c>
      <c r="E868" s="108">
        <v>1999</v>
      </c>
      <c r="F868" s="109"/>
    </row>
    <row r="869" spans="1:6" ht="16.5" x14ac:dyDescent="0.3">
      <c r="A869" s="106" t="s">
        <v>2582</v>
      </c>
      <c r="B869" s="107" t="s">
        <v>2583</v>
      </c>
      <c r="C869" s="106" t="s">
        <v>879</v>
      </c>
      <c r="D869" s="106" t="s">
        <v>929</v>
      </c>
      <c r="E869" s="108">
        <v>1987</v>
      </c>
      <c r="F869" s="109"/>
    </row>
    <row r="870" spans="1:6" ht="16.5" x14ac:dyDescent="0.3">
      <c r="A870" s="106" t="s">
        <v>2584</v>
      </c>
      <c r="B870" s="107" t="s">
        <v>2585</v>
      </c>
      <c r="C870" s="108">
        <v>1</v>
      </c>
      <c r="D870" s="106" t="s">
        <v>2553</v>
      </c>
      <c r="E870" s="108">
        <v>2012</v>
      </c>
      <c r="F870" s="109"/>
    </row>
    <row r="871" spans="1:6" ht="66" x14ac:dyDescent="0.3">
      <c r="A871" s="106" t="s">
        <v>2586</v>
      </c>
      <c r="B871" s="107" t="s">
        <v>2587</v>
      </c>
      <c r="C871" s="106" t="s">
        <v>906</v>
      </c>
      <c r="D871" s="106" t="s">
        <v>1188</v>
      </c>
      <c r="E871" s="108">
        <v>1987</v>
      </c>
      <c r="F871" s="109" t="s">
        <v>1291</v>
      </c>
    </row>
    <row r="872" spans="1:6" ht="16.5" x14ac:dyDescent="0.3">
      <c r="A872" s="106" t="s">
        <v>2588</v>
      </c>
      <c r="B872" s="107" t="s">
        <v>2589</v>
      </c>
      <c r="C872" s="106" t="s">
        <v>879</v>
      </c>
      <c r="D872" s="108">
        <v>101</v>
      </c>
      <c r="E872" s="108">
        <v>2013</v>
      </c>
      <c r="F872" s="109"/>
    </row>
    <row r="873" spans="1:6" ht="16.5" x14ac:dyDescent="0.3">
      <c r="A873" s="106" t="s">
        <v>2590</v>
      </c>
      <c r="B873" s="107" t="s">
        <v>2591</v>
      </c>
      <c r="C873" s="108">
        <v>3</v>
      </c>
      <c r="D873" s="106" t="s">
        <v>1196</v>
      </c>
      <c r="E873" s="108">
        <v>1987</v>
      </c>
      <c r="F873" s="109"/>
    </row>
    <row r="874" spans="1:6" ht="16.5" x14ac:dyDescent="0.3">
      <c r="A874" s="106" t="s">
        <v>2592</v>
      </c>
      <c r="B874" s="107" t="s">
        <v>2593</v>
      </c>
      <c r="C874" s="108">
        <v>3</v>
      </c>
      <c r="D874" s="108">
        <v>50</v>
      </c>
      <c r="E874" s="108">
        <v>1990</v>
      </c>
      <c r="F874" s="109"/>
    </row>
    <row r="875" spans="1:6" ht="16.5" x14ac:dyDescent="0.3">
      <c r="A875" s="106" t="s">
        <v>2594</v>
      </c>
      <c r="B875" s="107" t="s">
        <v>2595</v>
      </c>
      <c r="C875" s="106" t="s">
        <v>879</v>
      </c>
      <c r="D875" s="108">
        <v>101</v>
      </c>
      <c r="E875" s="108">
        <v>2013</v>
      </c>
      <c r="F875" s="109"/>
    </row>
    <row r="876" spans="1:6" ht="16.5" x14ac:dyDescent="0.3">
      <c r="A876" s="106" t="s">
        <v>2596</v>
      </c>
      <c r="B876" s="107" t="s">
        <v>2597</v>
      </c>
      <c r="C876" s="108">
        <v>3</v>
      </c>
      <c r="D876" s="108">
        <v>76</v>
      </c>
      <c r="E876" s="108">
        <v>2000</v>
      </c>
      <c r="F876" s="109"/>
    </row>
    <row r="877" spans="1:6" ht="66" x14ac:dyDescent="0.3">
      <c r="A877" s="106" t="s">
        <v>2598</v>
      </c>
      <c r="B877" s="107" t="s">
        <v>2599</v>
      </c>
      <c r="C877" s="106" t="s">
        <v>906</v>
      </c>
      <c r="D877" s="106" t="s">
        <v>1429</v>
      </c>
      <c r="E877" s="108">
        <v>1987</v>
      </c>
      <c r="F877" s="109" t="s">
        <v>1291</v>
      </c>
    </row>
    <row r="878" spans="1:6" ht="16.5" x14ac:dyDescent="0.3">
      <c r="A878" s="106" t="s">
        <v>2600</v>
      </c>
      <c r="B878" s="107" t="s">
        <v>2601</v>
      </c>
      <c r="C878" s="108">
        <v>3</v>
      </c>
      <c r="D878" s="106" t="s">
        <v>1003</v>
      </c>
      <c r="E878" s="108">
        <v>1987</v>
      </c>
      <c r="F878" s="109"/>
    </row>
    <row r="879" spans="1:6" ht="16.5" x14ac:dyDescent="0.3">
      <c r="A879" s="106" t="s">
        <v>2602</v>
      </c>
      <c r="B879" s="107" t="s">
        <v>2603</v>
      </c>
      <c r="C879" s="108">
        <v>3</v>
      </c>
      <c r="D879" s="108">
        <v>92</v>
      </c>
      <c r="E879" s="108">
        <v>2010</v>
      </c>
      <c r="F879" s="109"/>
    </row>
    <row r="880" spans="1:6" ht="16.5" x14ac:dyDescent="0.3">
      <c r="A880" s="106" t="s">
        <v>2604</v>
      </c>
      <c r="B880" s="107" t="s">
        <v>2605</v>
      </c>
      <c r="C880" s="108">
        <v>1</v>
      </c>
      <c r="D880" s="106" t="s">
        <v>2606</v>
      </c>
      <c r="E880" s="108">
        <v>2018</v>
      </c>
      <c r="F880" s="109"/>
    </row>
    <row r="881" spans="1:6" ht="16.5" x14ac:dyDescent="0.3">
      <c r="A881" s="106" t="s">
        <v>2607</v>
      </c>
      <c r="B881" s="107" t="s">
        <v>2608</v>
      </c>
      <c r="C881" s="106" t="s">
        <v>906</v>
      </c>
      <c r="D881" s="106" t="s">
        <v>2609</v>
      </c>
      <c r="E881" s="106" t="s">
        <v>1474</v>
      </c>
      <c r="F881" s="109"/>
    </row>
    <row r="882" spans="1:6" ht="16.5" x14ac:dyDescent="0.3">
      <c r="A882" s="106" t="s">
        <v>2610</v>
      </c>
      <c r="B882" s="107" t="s">
        <v>2611</v>
      </c>
      <c r="C882" s="106" t="s">
        <v>879</v>
      </c>
      <c r="D882" s="106" t="s">
        <v>2192</v>
      </c>
      <c r="E882" s="108">
        <v>1987</v>
      </c>
      <c r="F882" s="109"/>
    </row>
    <row r="883" spans="1:6" ht="16.5" x14ac:dyDescent="0.3">
      <c r="A883" s="106" t="s">
        <v>2612</v>
      </c>
      <c r="B883" s="107" t="s">
        <v>2613</v>
      </c>
      <c r="C883" s="106" t="s">
        <v>879</v>
      </c>
      <c r="D883" s="106" t="s">
        <v>1955</v>
      </c>
      <c r="E883" s="108">
        <v>1987</v>
      </c>
      <c r="F883" s="109"/>
    </row>
    <row r="884" spans="1:6" ht="16.5" x14ac:dyDescent="0.3">
      <c r="A884" s="106" t="s">
        <v>2614</v>
      </c>
      <c r="B884" s="107" t="s">
        <v>2615</v>
      </c>
      <c r="C884" s="108">
        <v>3</v>
      </c>
      <c r="D884" s="106" t="s">
        <v>2107</v>
      </c>
      <c r="E884" s="108">
        <v>2007</v>
      </c>
      <c r="F884" s="109"/>
    </row>
    <row r="885" spans="1:6" ht="16.5" x14ac:dyDescent="0.3">
      <c r="A885" s="106" t="s">
        <v>2616</v>
      </c>
      <c r="B885" s="107" t="s">
        <v>2617</v>
      </c>
      <c r="C885" s="108">
        <v>3</v>
      </c>
      <c r="D885" s="106" t="s">
        <v>1642</v>
      </c>
      <c r="E885" s="108">
        <v>1987</v>
      </c>
      <c r="F885" s="109"/>
    </row>
    <row r="886" spans="1:6" ht="16.5" x14ac:dyDescent="0.3">
      <c r="A886" s="106" t="s">
        <v>2618</v>
      </c>
      <c r="B886" s="107" t="s">
        <v>2619</v>
      </c>
      <c r="C886" s="108">
        <v>3</v>
      </c>
      <c r="D886" s="106" t="s">
        <v>1003</v>
      </c>
      <c r="E886" s="108">
        <v>1987</v>
      </c>
      <c r="F886" s="109"/>
    </row>
    <row r="887" spans="1:6" ht="16.5" x14ac:dyDescent="0.2">
      <c r="A887" s="106" t="s">
        <v>2620</v>
      </c>
      <c r="B887" s="107" t="s">
        <v>2621</v>
      </c>
      <c r="C887" s="106" t="s">
        <v>879</v>
      </c>
      <c r="D887" s="106" t="s">
        <v>1239</v>
      </c>
      <c r="E887" s="108">
        <v>1987</v>
      </c>
      <c r="F887" s="111"/>
    </row>
    <row r="888" spans="1:6" ht="16.5" x14ac:dyDescent="0.2">
      <c r="A888" s="106" t="s">
        <v>2622</v>
      </c>
      <c r="B888" s="107" t="s">
        <v>2623</v>
      </c>
      <c r="C888" s="108">
        <v>3</v>
      </c>
      <c r="D888" s="108">
        <v>108</v>
      </c>
      <c r="E888" s="108">
        <v>2016</v>
      </c>
      <c r="F888" s="111"/>
    </row>
    <row r="889" spans="1:6" ht="16.5" x14ac:dyDescent="0.2">
      <c r="A889" s="106" t="s">
        <v>2624</v>
      </c>
      <c r="B889" s="107" t="s">
        <v>2625</v>
      </c>
      <c r="C889" s="108">
        <v>3</v>
      </c>
      <c r="D889" s="106" t="s">
        <v>1416</v>
      </c>
      <c r="E889" s="108">
        <v>2001</v>
      </c>
      <c r="F889" s="111"/>
    </row>
    <row r="890" spans="1:6" ht="16.5" x14ac:dyDescent="0.2">
      <c r="A890" s="106" t="s">
        <v>2626</v>
      </c>
      <c r="B890" s="107" t="s">
        <v>2627</v>
      </c>
      <c r="C890" s="108">
        <v>3</v>
      </c>
      <c r="D890" s="106" t="s">
        <v>907</v>
      </c>
      <c r="E890" s="108">
        <v>1987</v>
      </c>
      <c r="F890" s="111"/>
    </row>
    <row r="891" spans="1:6" ht="16.5" x14ac:dyDescent="0.2">
      <c r="A891" s="106" t="s">
        <v>2628</v>
      </c>
      <c r="B891" s="107" t="s">
        <v>2629</v>
      </c>
      <c r="C891" s="108">
        <v>3</v>
      </c>
      <c r="D891" s="106" t="s">
        <v>1335</v>
      </c>
      <c r="E891" s="108">
        <v>1999</v>
      </c>
      <c r="F891" s="111"/>
    </row>
    <row r="892" spans="1:6" ht="16.5" x14ac:dyDescent="0.2">
      <c r="A892" s="106" t="s">
        <v>2630</v>
      </c>
      <c r="B892" s="107" t="s">
        <v>2631</v>
      </c>
      <c r="C892" s="108">
        <v>3</v>
      </c>
      <c r="D892" s="106" t="s">
        <v>1180</v>
      </c>
      <c r="E892" s="108">
        <v>1994</v>
      </c>
      <c r="F892" s="111"/>
    </row>
    <row r="893" spans="1:6" ht="16.5" x14ac:dyDescent="0.2">
      <c r="A893" s="106" t="s">
        <v>2632</v>
      </c>
      <c r="B893" s="107" t="s">
        <v>2633</v>
      </c>
      <c r="C893" s="108">
        <v>3</v>
      </c>
      <c r="D893" s="106" t="s">
        <v>1335</v>
      </c>
      <c r="E893" s="108">
        <v>1999</v>
      </c>
      <c r="F893" s="111"/>
    </row>
    <row r="894" spans="1:6" ht="16.5" x14ac:dyDescent="0.2">
      <c r="A894" s="106" t="s">
        <v>2634</v>
      </c>
      <c r="B894" s="107" t="s">
        <v>2635</v>
      </c>
      <c r="C894" s="108">
        <v>3</v>
      </c>
      <c r="D894" s="106" t="s">
        <v>1335</v>
      </c>
      <c r="E894" s="108">
        <v>1999</v>
      </c>
      <c r="F894" s="111"/>
    </row>
    <row r="895" spans="1:6" ht="16.5" x14ac:dyDescent="0.2">
      <c r="A895" s="106" t="s">
        <v>2636</v>
      </c>
      <c r="B895" s="107" t="s">
        <v>2637</v>
      </c>
      <c r="C895" s="108">
        <v>3</v>
      </c>
      <c r="D895" s="106" t="s">
        <v>1314</v>
      </c>
      <c r="E895" s="108">
        <v>1999</v>
      </c>
      <c r="F895" s="111"/>
    </row>
    <row r="896" spans="1:6" ht="16.5" x14ac:dyDescent="0.2">
      <c r="A896" s="106" t="s">
        <v>2638</v>
      </c>
      <c r="B896" s="107" t="s">
        <v>2639</v>
      </c>
      <c r="C896" s="106" t="s">
        <v>879</v>
      </c>
      <c r="D896" s="106" t="s">
        <v>2640</v>
      </c>
      <c r="E896" s="108">
        <v>1987</v>
      </c>
      <c r="F896" s="111"/>
    </row>
    <row r="897" spans="1:6" ht="16.5" x14ac:dyDescent="0.2">
      <c r="A897" s="106" t="s">
        <v>2641</v>
      </c>
      <c r="B897" s="107" t="s">
        <v>2642</v>
      </c>
      <c r="C897" s="108">
        <v>3</v>
      </c>
      <c r="D897" s="108">
        <v>58</v>
      </c>
      <c r="E897" s="108">
        <v>1993</v>
      </c>
      <c r="F897" s="111"/>
    </row>
    <row r="898" spans="1:6" ht="16.5" x14ac:dyDescent="0.2">
      <c r="A898" s="106" t="s">
        <v>2643</v>
      </c>
      <c r="B898" s="107" t="s">
        <v>2644</v>
      </c>
      <c r="C898" s="106" t="s">
        <v>879</v>
      </c>
      <c r="D898" s="106" t="s">
        <v>2645</v>
      </c>
      <c r="E898" s="108">
        <v>1990</v>
      </c>
      <c r="F898" s="111"/>
    </row>
    <row r="899" spans="1:6" ht="16.5" x14ac:dyDescent="0.2">
      <c r="A899" s="106" t="s">
        <v>2646</v>
      </c>
      <c r="B899" s="107" t="s">
        <v>2647</v>
      </c>
      <c r="C899" s="108">
        <v>1</v>
      </c>
      <c r="D899" s="106" t="s">
        <v>1125</v>
      </c>
      <c r="E899" s="108">
        <v>2012</v>
      </c>
      <c r="F899" s="111"/>
    </row>
    <row r="900" spans="1:6" ht="16.5" x14ac:dyDescent="0.2">
      <c r="A900" s="106" t="s">
        <v>2648</v>
      </c>
      <c r="B900" s="107" t="s">
        <v>2649</v>
      </c>
      <c r="C900" s="108">
        <v>1</v>
      </c>
      <c r="D900" s="106" t="s">
        <v>1125</v>
      </c>
      <c r="E900" s="108">
        <v>2012</v>
      </c>
      <c r="F900" s="111"/>
    </row>
    <row r="901" spans="1:6" ht="16.5" x14ac:dyDescent="0.2">
      <c r="A901" s="106" t="s">
        <v>2650</v>
      </c>
      <c r="B901" s="107" t="s">
        <v>2651</v>
      </c>
      <c r="C901" s="108">
        <v>1</v>
      </c>
      <c r="D901" s="106" t="s">
        <v>2652</v>
      </c>
      <c r="E901" s="108">
        <v>2012</v>
      </c>
      <c r="F901" s="111"/>
    </row>
    <row r="902" spans="1:6" ht="16.5" x14ac:dyDescent="0.2">
      <c r="A902" s="106" t="s">
        <v>2653</v>
      </c>
      <c r="B902" s="107" t="s">
        <v>2654</v>
      </c>
      <c r="C902" s="108">
        <v>1</v>
      </c>
      <c r="D902" s="106" t="s">
        <v>2655</v>
      </c>
      <c r="E902" s="108">
        <v>2012</v>
      </c>
      <c r="F902" s="111"/>
    </row>
    <row r="903" spans="1:6" ht="16.5" x14ac:dyDescent="0.3">
      <c r="A903" s="106" t="s">
        <v>2656</v>
      </c>
      <c r="B903" s="107" t="s">
        <v>2657</v>
      </c>
      <c r="C903" s="108">
        <v>1</v>
      </c>
      <c r="D903" s="106" t="s">
        <v>2658</v>
      </c>
      <c r="E903" s="108">
        <v>2012</v>
      </c>
      <c r="F903" s="109"/>
    </row>
    <row r="904" spans="1:6" ht="16.5" x14ac:dyDescent="0.3">
      <c r="A904" s="106" t="s">
        <v>2659</v>
      </c>
      <c r="B904" s="107" t="s">
        <v>2660</v>
      </c>
      <c r="C904" s="108">
        <v>3</v>
      </c>
      <c r="D904" s="106" t="s">
        <v>2645</v>
      </c>
      <c r="E904" s="108">
        <v>1990</v>
      </c>
      <c r="F904" s="109"/>
    </row>
    <row r="905" spans="1:6" ht="33" x14ac:dyDescent="0.3">
      <c r="A905" s="106" t="s">
        <v>2661</v>
      </c>
      <c r="B905" s="107" t="s">
        <v>2662</v>
      </c>
      <c r="C905" s="106" t="s">
        <v>906</v>
      </c>
      <c r="D905" s="106" t="s">
        <v>1093</v>
      </c>
      <c r="E905" s="106" t="s">
        <v>1094</v>
      </c>
      <c r="F905" s="109"/>
    </row>
    <row r="906" spans="1:6" ht="33" x14ac:dyDescent="0.3">
      <c r="A906" s="106" t="s">
        <v>2663</v>
      </c>
      <c r="B906" s="107" t="s">
        <v>2664</v>
      </c>
      <c r="C906" s="106" t="s">
        <v>906</v>
      </c>
      <c r="D906" s="108">
        <v>86</v>
      </c>
      <c r="E906" s="108">
        <v>2006</v>
      </c>
      <c r="F906" s="109"/>
    </row>
    <row r="907" spans="1:6" ht="16.5" x14ac:dyDescent="0.3">
      <c r="A907" s="106" t="s">
        <v>2665</v>
      </c>
      <c r="B907" s="107" t="s">
        <v>2666</v>
      </c>
      <c r="C907" s="108">
        <v>3</v>
      </c>
      <c r="D907" s="108">
        <v>54</v>
      </c>
      <c r="E907" s="108">
        <v>1992</v>
      </c>
      <c r="F907" s="109"/>
    </row>
    <row r="908" spans="1:6" ht="16.5" x14ac:dyDescent="0.3">
      <c r="A908" s="106" t="s">
        <v>2667</v>
      </c>
      <c r="B908" s="107" t="s">
        <v>2668</v>
      </c>
      <c r="C908" s="108">
        <v>3</v>
      </c>
      <c r="D908" s="106" t="s">
        <v>904</v>
      </c>
      <c r="E908" s="108">
        <v>1987</v>
      </c>
      <c r="F908" s="109"/>
    </row>
    <row r="909" spans="1:6" ht="16.5" x14ac:dyDescent="0.3">
      <c r="A909" s="106" t="s">
        <v>2669</v>
      </c>
      <c r="B909" s="107" t="s">
        <v>2670</v>
      </c>
      <c r="C909" s="106" t="s">
        <v>879</v>
      </c>
      <c r="D909" s="108">
        <v>76</v>
      </c>
      <c r="E909" s="108">
        <v>2000</v>
      </c>
      <c r="F909" s="109"/>
    </row>
    <row r="910" spans="1:6" ht="66" x14ac:dyDescent="0.3">
      <c r="A910" s="106" t="s">
        <v>2671</v>
      </c>
      <c r="B910" s="107" t="s">
        <v>2672</v>
      </c>
      <c r="C910" s="106" t="s">
        <v>906</v>
      </c>
      <c r="D910" s="106" t="s">
        <v>2137</v>
      </c>
      <c r="E910" s="108">
        <v>2014</v>
      </c>
      <c r="F910" s="109" t="s">
        <v>1291</v>
      </c>
    </row>
    <row r="911" spans="1:6" ht="16.5" x14ac:dyDescent="0.3">
      <c r="A911" s="106" t="s">
        <v>2673</v>
      </c>
      <c r="B911" s="107" t="s">
        <v>2674</v>
      </c>
      <c r="C911" s="108">
        <v>3</v>
      </c>
      <c r="D911" s="106" t="s">
        <v>1314</v>
      </c>
      <c r="E911" s="108">
        <v>1999</v>
      </c>
      <c r="F911" s="109"/>
    </row>
    <row r="912" spans="1:6" ht="16.5" x14ac:dyDescent="0.3">
      <c r="A912" s="106" t="s">
        <v>2675</v>
      </c>
      <c r="B912" s="107" t="s">
        <v>2676</v>
      </c>
      <c r="C912" s="108">
        <v>1</v>
      </c>
      <c r="D912" s="106" t="s">
        <v>2677</v>
      </c>
      <c r="E912" s="108">
        <v>2012</v>
      </c>
      <c r="F912" s="109"/>
    </row>
    <row r="913" spans="1:6" ht="148.5" x14ac:dyDescent="0.3">
      <c r="A913" s="106" t="s">
        <v>2678</v>
      </c>
      <c r="B913" s="107" t="s">
        <v>2679</v>
      </c>
      <c r="C913" s="106" t="s">
        <v>906</v>
      </c>
      <c r="D913" s="106" t="s">
        <v>2680</v>
      </c>
      <c r="E913" s="108">
        <v>2008</v>
      </c>
      <c r="F913" s="109" t="s">
        <v>2681</v>
      </c>
    </row>
    <row r="914" spans="1:6" ht="16.5" x14ac:dyDescent="0.3">
      <c r="A914" s="106" t="s">
        <v>2682</v>
      </c>
      <c r="B914" s="107" t="s">
        <v>2683</v>
      </c>
      <c r="C914" s="106" t="s">
        <v>879</v>
      </c>
      <c r="D914" s="106" t="s">
        <v>1222</v>
      </c>
      <c r="E914" s="108">
        <v>1999</v>
      </c>
      <c r="F914" s="109"/>
    </row>
    <row r="915" spans="1:6" ht="33" x14ac:dyDescent="0.3">
      <c r="A915" s="106" t="s">
        <v>2682</v>
      </c>
      <c r="B915" s="107" t="s">
        <v>2684</v>
      </c>
      <c r="C915" s="108">
        <v>1</v>
      </c>
      <c r="D915" s="106" t="s">
        <v>2685</v>
      </c>
      <c r="E915" s="108">
        <v>2012</v>
      </c>
      <c r="F915" s="109"/>
    </row>
    <row r="916" spans="1:6" ht="16.5" x14ac:dyDescent="0.3">
      <c r="A916" s="106" t="s">
        <v>2686</v>
      </c>
      <c r="B916" s="107" t="s">
        <v>2687</v>
      </c>
      <c r="C916" s="106" t="s">
        <v>906</v>
      </c>
      <c r="D916" s="106" t="s">
        <v>2688</v>
      </c>
      <c r="E916" s="108">
        <v>2017</v>
      </c>
      <c r="F916" s="109"/>
    </row>
    <row r="917" spans="1:6" ht="66" x14ac:dyDescent="0.3">
      <c r="A917" s="106" t="s">
        <v>2689</v>
      </c>
      <c r="B917" s="107" t="s">
        <v>2690</v>
      </c>
      <c r="C917" s="108">
        <v>1</v>
      </c>
      <c r="D917" s="106" t="s">
        <v>2691</v>
      </c>
      <c r="E917" s="108">
        <v>2012</v>
      </c>
      <c r="F917" s="109" t="s">
        <v>918</v>
      </c>
    </row>
    <row r="918" spans="1:6" ht="16.5" x14ac:dyDescent="0.3">
      <c r="A918" s="106" t="s">
        <v>2692</v>
      </c>
      <c r="B918" s="107" t="s">
        <v>2693</v>
      </c>
      <c r="C918" s="108">
        <v>3</v>
      </c>
      <c r="D918" s="106" t="s">
        <v>1314</v>
      </c>
      <c r="E918" s="108">
        <v>1999</v>
      </c>
      <c r="F918" s="109"/>
    </row>
    <row r="919" spans="1:6" ht="16.5" x14ac:dyDescent="0.3">
      <c r="A919" s="106" t="s">
        <v>2694</v>
      </c>
      <c r="B919" s="107" t="s">
        <v>2695</v>
      </c>
      <c r="C919" s="106" t="s">
        <v>906</v>
      </c>
      <c r="D919" s="108">
        <v>133</v>
      </c>
      <c r="E919" s="106" t="s">
        <v>976</v>
      </c>
      <c r="F919" s="109"/>
    </row>
    <row r="920" spans="1:6" ht="16.5" x14ac:dyDescent="0.3">
      <c r="A920" s="106" t="s">
        <v>2696</v>
      </c>
      <c r="B920" s="107" t="s">
        <v>2697</v>
      </c>
      <c r="C920" s="106" t="s">
        <v>879</v>
      </c>
      <c r="D920" s="106" t="s">
        <v>1314</v>
      </c>
      <c r="E920" s="108">
        <v>1999</v>
      </c>
      <c r="F920" s="109"/>
    </row>
    <row r="921" spans="1:6" ht="16.5" x14ac:dyDescent="0.3">
      <c r="A921" s="106" t="s">
        <v>2698</v>
      </c>
      <c r="B921" s="107" t="s">
        <v>2699</v>
      </c>
      <c r="C921" s="106" t="s">
        <v>879</v>
      </c>
      <c r="D921" s="106" t="s">
        <v>2700</v>
      </c>
      <c r="E921" s="108">
        <v>2019</v>
      </c>
      <c r="F921" s="109"/>
    </row>
    <row r="922" spans="1:6" ht="16.5" x14ac:dyDescent="0.3">
      <c r="A922" s="106" t="s">
        <v>2701</v>
      </c>
      <c r="B922" s="107" t="s">
        <v>2702</v>
      </c>
      <c r="C922" s="108">
        <v>3</v>
      </c>
      <c r="D922" s="106" t="s">
        <v>1256</v>
      </c>
      <c r="E922" s="108">
        <v>1999</v>
      </c>
      <c r="F922" s="109"/>
    </row>
    <row r="923" spans="1:6" ht="16.5" x14ac:dyDescent="0.3">
      <c r="A923" s="106" t="s">
        <v>2703</v>
      </c>
      <c r="B923" s="107" t="s">
        <v>2704</v>
      </c>
      <c r="C923" s="108">
        <v>3</v>
      </c>
      <c r="D923" s="106" t="s">
        <v>1335</v>
      </c>
      <c r="E923" s="108">
        <v>1999</v>
      </c>
      <c r="F923" s="109"/>
    </row>
    <row r="924" spans="1:6" ht="16.5" x14ac:dyDescent="0.3">
      <c r="A924" s="106" t="s">
        <v>2705</v>
      </c>
      <c r="B924" s="107" t="s">
        <v>2706</v>
      </c>
      <c r="C924" s="106" t="s">
        <v>879</v>
      </c>
      <c r="D924" s="108">
        <v>77</v>
      </c>
      <c r="E924" s="108">
        <v>2000</v>
      </c>
      <c r="F924" s="109"/>
    </row>
    <row r="925" spans="1:6" ht="16.5" x14ac:dyDescent="0.3">
      <c r="A925" s="106" t="s">
        <v>2707</v>
      </c>
      <c r="B925" s="107" t="s">
        <v>2708</v>
      </c>
      <c r="C925" s="106" t="s">
        <v>879</v>
      </c>
      <c r="D925" s="106" t="s">
        <v>1367</v>
      </c>
      <c r="E925" s="108">
        <v>1999</v>
      </c>
      <c r="F925" s="109"/>
    </row>
    <row r="926" spans="1:6" ht="16.5" x14ac:dyDescent="0.3">
      <c r="A926" s="106" t="s">
        <v>2709</v>
      </c>
      <c r="B926" s="107" t="s">
        <v>2710</v>
      </c>
      <c r="C926" s="106" t="s">
        <v>879</v>
      </c>
      <c r="D926" s="106" t="s">
        <v>1180</v>
      </c>
      <c r="E926" s="108">
        <v>1994</v>
      </c>
      <c r="F926" s="109"/>
    </row>
    <row r="927" spans="1:6" ht="16.5" x14ac:dyDescent="0.3">
      <c r="A927" s="106" t="s">
        <v>2711</v>
      </c>
      <c r="B927" s="107" t="s">
        <v>2712</v>
      </c>
      <c r="C927" s="106" t="s">
        <v>879</v>
      </c>
      <c r="D927" s="106" t="s">
        <v>1051</v>
      </c>
      <c r="E927" s="108">
        <v>2012</v>
      </c>
      <c r="F927" s="109"/>
    </row>
    <row r="928" spans="1:6" ht="16.5" x14ac:dyDescent="0.3">
      <c r="A928" s="106" t="s">
        <v>2713</v>
      </c>
      <c r="B928" s="107" t="s">
        <v>2714</v>
      </c>
      <c r="C928" s="106" t="s">
        <v>906</v>
      </c>
      <c r="D928" s="106" t="s">
        <v>2018</v>
      </c>
      <c r="E928" s="108">
        <v>2014</v>
      </c>
      <c r="F928" s="109"/>
    </row>
    <row r="929" spans="1:6" ht="16.5" x14ac:dyDescent="0.3">
      <c r="A929" s="106" t="s">
        <v>2715</v>
      </c>
      <c r="B929" s="107" t="s">
        <v>2716</v>
      </c>
      <c r="C929" s="108">
        <v>3</v>
      </c>
      <c r="D929" s="106" t="s">
        <v>1335</v>
      </c>
      <c r="E929" s="108">
        <v>1999</v>
      </c>
      <c r="F929" s="109"/>
    </row>
    <row r="930" spans="1:6" ht="16.5" x14ac:dyDescent="0.3">
      <c r="A930" s="106" t="s">
        <v>2717</v>
      </c>
      <c r="B930" s="107" t="s">
        <v>2718</v>
      </c>
      <c r="C930" s="108">
        <v>3</v>
      </c>
      <c r="D930" s="106" t="s">
        <v>1188</v>
      </c>
      <c r="E930" s="108">
        <v>1987</v>
      </c>
      <c r="F930" s="109"/>
    </row>
    <row r="931" spans="1:6" ht="16.5" x14ac:dyDescent="0.3">
      <c r="A931" s="106" t="s">
        <v>2719</v>
      </c>
      <c r="B931" s="107" t="s">
        <v>2720</v>
      </c>
      <c r="C931" s="106" t="s">
        <v>879</v>
      </c>
      <c r="D931" s="106" t="s">
        <v>964</v>
      </c>
      <c r="E931" s="108">
        <v>2014</v>
      </c>
      <c r="F931" s="109"/>
    </row>
    <row r="932" spans="1:6" ht="16.5" x14ac:dyDescent="0.3">
      <c r="A932" s="106" t="s">
        <v>2721</v>
      </c>
      <c r="B932" s="107" t="s">
        <v>2722</v>
      </c>
      <c r="C932" s="108">
        <v>3</v>
      </c>
      <c r="D932" s="106" t="s">
        <v>1256</v>
      </c>
      <c r="E932" s="108">
        <v>1999</v>
      </c>
      <c r="F932" s="109"/>
    </row>
    <row r="933" spans="1:6" ht="66" x14ac:dyDescent="0.3">
      <c r="A933" s="106" t="s">
        <v>2723</v>
      </c>
      <c r="B933" s="107" t="s">
        <v>2724</v>
      </c>
      <c r="C933" s="106" t="s">
        <v>906</v>
      </c>
      <c r="D933" s="106" t="s">
        <v>1188</v>
      </c>
      <c r="E933" s="108">
        <v>1987</v>
      </c>
      <c r="F933" s="109" t="s">
        <v>1291</v>
      </c>
    </row>
    <row r="934" spans="1:6" ht="16.5" x14ac:dyDescent="0.3">
      <c r="A934" s="106" t="s">
        <v>2725</v>
      </c>
      <c r="B934" s="107" t="s">
        <v>2726</v>
      </c>
      <c r="C934" s="108">
        <v>3</v>
      </c>
      <c r="D934" s="106" t="s">
        <v>1335</v>
      </c>
      <c r="E934" s="108">
        <v>1999</v>
      </c>
      <c r="F934" s="109"/>
    </row>
    <row r="935" spans="1:6" ht="16.5" x14ac:dyDescent="0.3">
      <c r="A935" s="106" t="s">
        <v>2727</v>
      </c>
      <c r="B935" s="107" t="s">
        <v>2728</v>
      </c>
      <c r="C935" s="106" t="s">
        <v>879</v>
      </c>
      <c r="D935" s="106" t="s">
        <v>2018</v>
      </c>
      <c r="E935" s="108">
        <v>2014</v>
      </c>
      <c r="F935" s="109"/>
    </row>
    <row r="936" spans="1:6" ht="16.5" x14ac:dyDescent="0.3">
      <c r="A936" s="106" t="s">
        <v>2729</v>
      </c>
      <c r="B936" s="107" t="s">
        <v>2730</v>
      </c>
      <c r="C936" s="106" t="s">
        <v>879</v>
      </c>
      <c r="D936" s="106" t="s">
        <v>2378</v>
      </c>
      <c r="E936" s="108">
        <v>2001</v>
      </c>
      <c r="F936" s="109"/>
    </row>
    <row r="937" spans="1:6" ht="66" x14ac:dyDescent="0.3">
      <c r="A937" s="106" t="s">
        <v>2731</v>
      </c>
      <c r="B937" s="107" t="s">
        <v>2732</v>
      </c>
      <c r="C937" s="106" t="s">
        <v>906</v>
      </c>
      <c r="D937" s="106" t="s">
        <v>883</v>
      </c>
      <c r="E937" s="108">
        <v>1993</v>
      </c>
      <c r="F937" s="109" t="s">
        <v>1291</v>
      </c>
    </row>
    <row r="938" spans="1:6" ht="16.5" x14ac:dyDescent="0.3">
      <c r="A938" s="106" t="s">
        <v>2733</v>
      </c>
      <c r="B938" s="107" t="s">
        <v>2734</v>
      </c>
      <c r="C938" s="108">
        <v>3</v>
      </c>
      <c r="D938" s="106" t="s">
        <v>1634</v>
      </c>
      <c r="E938" s="108">
        <v>1997</v>
      </c>
      <c r="F938" s="109"/>
    </row>
    <row r="939" spans="1:6" ht="16.5" x14ac:dyDescent="0.3">
      <c r="A939" s="106" t="s">
        <v>2735</v>
      </c>
      <c r="B939" s="107" t="s">
        <v>2736</v>
      </c>
      <c r="C939" s="108">
        <v>3</v>
      </c>
      <c r="D939" s="108">
        <v>54</v>
      </c>
      <c r="E939" s="108">
        <v>1992</v>
      </c>
      <c r="F939" s="109"/>
    </row>
    <row r="940" spans="1:6" ht="16.5" x14ac:dyDescent="0.3">
      <c r="A940" s="106" t="s">
        <v>2737</v>
      </c>
      <c r="B940" s="107" t="s">
        <v>2738</v>
      </c>
      <c r="C940" s="106" t="s">
        <v>879</v>
      </c>
      <c r="D940" s="106" t="s">
        <v>1290</v>
      </c>
      <c r="E940" s="108">
        <v>1999</v>
      </c>
      <c r="F940" s="109"/>
    </row>
    <row r="941" spans="1:6" ht="33" x14ac:dyDescent="0.3">
      <c r="A941" s="106" t="s">
        <v>2739</v>
      </c>
      <c r="B941" s="107" t="s">
        <v>2740</v>
      </c>
      <c r="C941" s="106"/>
      <c r="D941" s="106"/>
      <c r="E941" s="106"/>
      <c r="F941" s="109"/>
    </row>
    <row r="942" spans="1:6" ht="16.5" x14ac:dyDescent="0.3">
      <c r="A942" s="106" t="s">
        <v>2741</v>
      </c>
      <c r="B942" s="107" t="s">
        <v>2742</v>
      </c>
      <c r="C942" s="106" t="s">
        <v>879</v>
      </c>
      <c r="D942" s="108">
        <v>76</v>
      </c>
      <c r="E942" s="108">
        <v>2000</v>
      </c>
      <c r="F942" s="109"/>
    </row>
    <row r="943" spans="1:6" ht="66" x14ac:dyDescent="0.3">
      <c r="A943" s="106" t="s">
        <v>2743</v>
      </c>
      <c r="B943" s="107" t="s">
        <v>2744</v>
      </c>
      <c r="C943" s="106" t="s">
        <v>906</v>
      </c>
      <c r="D943" s="106" t="s">
        <v>1734</v>
      </c>
      <c r="E943" s="108">
        <v>1999</v>
      </c>
      <c r="F943" s="109" t="s">
        <v>1291</v>
      </c>
    </row>
    <row r="944" spans="1:6" ht="16.5" x14ac:dyDescent="0.3">
      <c r="A944" s="106" t="s">
        <v>2745</v>
      </c>
      <c r="B944" s="107" t="s">
        <v>2746</v>
      </c>
      <c r="C944" s="106" t="s">
        <v>879</v>
      </c>
      <c r="D944" s="106" t="s">
        <v>883</v>
      </c>
      <c r="E944" s="108">
        <v>1993</v>
      </c>
      <c r="F944" s="109"/>
    </row>
    <row r="945" spans="1:6" ht="16.5" x14ac:dyDescent="0.3">
      <c r="A945" s="106" t="s">
        <v>2747</v>
      </c>
      <c r="B945" s="107" t="s">
        <v>2748</v>
      </c>
      <c r="C945" s="108">
        <v>3</v>
      </c>
      <c r="D945" s="106" t="s">
        <v>1222</v>
      </c>
      <c r="E945" s="108">
        <v>1999</v>
      </c>
      <c r="F945" s="109"/>
    </row>
    <row r="946" spans="1:6" ht="16.5" x14ac:dyDescent="0.3">
      <c r="A946" s="106" t="s">
        <v>2749</v>
      </c>
      <c r="B946" s="107" t="s">
        <v>2750</v>
      </c>
      <c r="C946" s="106" t="s">
        <v>879</v>
      </c>
      <c r="D946" s="108">
        <v>84</v>
      </c>
      <c r="E946" s="108">
        <v>2004</v>
      </c>
      <c r="F946" s="109"/>
    </row>
    <row r="947" spans="1:6" ht="16.5" x14ac:dyDescent="0.3">
      <c r="A947" s="106" t="s">
        <v>2751</v>
      </c>
      <c r="B947" s="107" t="s">
        <v>2752</v>
      </c>
      <c r="C947" s="106" t="s">
        <v>879</v>
      </c>
      <c r="D947" s="106" t="s">
        <v>883</v>
      </c>
      <c r="E947" s="108">
        <v>1993</v>
      </c>
      <c r="F947" s="109"/>
    </row>
    <row r="948" spans="1:6" ht="16.5" x14ac:dyDescent="0.3">
      <c r="A948" s="106" t="s">
        <v>2753</v>
      </c>
      <c r="B948" s="107" t="s">
        <v>2754</v>
      </c>
      <c r="C948" s="106" t="s">
        <v>879</v>
      </c>
      <c r="D948" s="106" t="s">
        <v>1275</v>
      </c>
      <c r="E948" s="108">
        <v>1999</v>
      </c>
      <c r="F948" s="109"/>
    </row>
    <row r="949" spans="1:6" ht="16.5" x14ac:dyDescent="0.3">
      <c r="A949" s="106" t="s">
        <v>2755</v>
      </c>
      <c r="B949" s="107" t="s">
        <v>2756</v>
      </c>
      <c r="C949" s="108">
        <v>3</v>
      </c>
      <c r="D949" s="108">
        <v>52</v>
      </c>
      <c r="E949" s="108">
        <v>1991</v>
      </c>
      <c r="F949" s="109"/>
    </row>
    <row r="950" spans="1:6" ht="16.5" x14ac:dyDescent="0.3">
      <c r="A950" s="106" t="s">
        <v>2757</v>
      </c>
      <c r="B950" s="107" t="s">
        <v>2758</v>
      </c>
      <c r="C950" s="108">
        <v>3</v>
      </c>
      <c r="D950" s="106" t="s">
        <v>1321</v>
      </c>
      <c r="E950" s="108">
        <v>1987</v>
      </c>
      <c r="F950" s="109"/>
    </row>
    <row r="951" spans="1:6" ht="16.5" x14ac:dyDescent="0.3">
      <c r="A951" s="106" t="s">
        <v>585</v>
      </c>
      <c r="B951" s="107" t="s">
        <v>2759</v>
      </c>
      <c r="C951" s="106" t="s">
        <v>879</v>
      </c>
      <c r="D951" s="108">
        <v>130</v>
      </c>
      <c r="E951" s="106" t="s">
        <v>1474</v>
      </c>
      <c r="F951" s="109"/>
    </row>
    <row r="952" spans="1:6" ht="16.5" x14ac:dyDescent="0.3">
      <c r="A952" s="106" t="s">
        <v>2760</v>
      </c>
      <c r="B952" s="107" t="s">
        <v>2761</v>
      </c>
      <c r="C952" s="106" t="s">
        <v>879</v>
      </c>
      <c r="D952" s="106" t="s">
        <v>2762</v>
      </c>
      <c r="E952" s="108">
        <v>1999</v>
      </c>
      <c r="F952" s="109"/>
    </row>
    <row r="953" spans="1:6" ht="16.5" x14ac:dyDescent="0.3">
      <c r="A953" s="106" t="s">
        <v>2763</v>
      </c>
      <c r="B953" s="107" t="s">
        <v>2764</v>
      </c>
      <c r="C953" s="108">
        <v>1</v>
      </c>
      <c r="D953" s="106" t="s">
        <v>2765</v>
      </c>
      <c r="E953" s="108">
        <v>2017</v>
      </c>
      <c r="F953" s="109"/>
    </row>
    <row r="954" spans="1:6" ht="16.5" x14ac:dyDescent="0.3">
      <c r="A954" s="106" t="s">
        <v>2766</v>
      </c>
      <c r="B954" s="107" t="s">
        <v>2767</v>
      </c>
      <c r="C954" s="108">
        <v>3</v>
      </c>
      <c r="D954" s="108">
        <v>51</v>
      </c>
      <c r="E954" s="108">
        <v>1991</v>
      </c>
      <c r="F954" s="109"/>
    </row>
    <row r="955" spans="1:6" ht="16.5" x14ac:dyDescent="0.3">
      <c r="A955" s="106" t="s">
        <v>2768</v>
      </c>
      <c r="B955" s="107" t="s">
        <v>2769</v>
      </c>
      <c r="C955" s="108">
        <v>3</v>
      </c>
      <c r="D955" s="108">
        <v>46</v>
      </c>
      <c r="E955" s="108">
        <v>1989</v>
      </c>
      <c r="F955" s="109"/>
    </row>
    <row r="956" spans="1:6" ht="16.5" x14ac:dyDescent="0.3">
      <c r="A956" s="106" t="s">
        <v>2770</v>
      </c>
      <c r="B956" s="107" t="s">
        <v>2771</v>
      </c>
      <c r="C956" s="108">
        <v>3</v>
      </c>
      <c r="D956" s="106" t="s">
        <v>1314</v>
      </c>
      <c r="E956" s="108">
        <v>1999</v>
      </c>
      <c r="F956" s="109"/>
    </row>
    <row r="957" spans="1:6" ht="16.5" x14ac:dyDescent="0.3">
      <c r="A957" s="106" t="s">
        <v>2772</v>
      </c>
      <c r="B957" s="107" t="s">
        <v>2773</v>
      </c>
      <c r="C957" s="108">
        <v>1</v>
      </c>
      <c r="D957" s="106" t="s">
        <v>1515</v>
      </c>
      <c r="E957" s="108">
        <v>2014</v>
      </c>
      <c r="F957" s="109"/>
    </row>
    <row r="958" spans="1:6" ht="66" x14ac:dyDescent="0.3">
      <c r="A958" s="106" t="s">
        <v>2774</v>
      </c>
      <c r="B958" s="107" t="s">
        <v>2775</v>
      </c>
      <c r="C958" s="106" t="s">
        <v>906</v>
      </c>
      <c r="D958" s="106" t="s">
        <v>2776</v>
      </c>
      <c r="E958" s="108">
        <v>1994</v>
      </c>
      <c r="F958" s="109" t="s">
        <v>1291</v>
      </c>
    </row>
    <row r="959" spans="1:6" ht="16.5" x14ac:dyDescent="0.3">
      <c r="A959" s="106" t="s">
        <v>2777</v>
      </c>
      <c r="B959" s="107" t="s">
        <v>2778</v>
      </c>
      <c r="C959" s="108">
        <v>3</v>
      </c>
      <c r="D959" s="106" t="s">
        <v>1213</v>
      </c>
      <c r="E959" s="108">
        <v>1999</v>
      </c>
      <c r="F959" s="109"/>
    </row>
    <row r="960" spans="1:6" ht="16.5" x14ac:dyDescent="0.3">
      <c r="A960" s="106" t="s">
        <v>2779</v>
      </c>
      <c r="B960" s="107" t="s">
        <v>2780</v>
      </c>
      <c r="C960" s="106" t="s">
        <v>879</v>
      </c>
      <c r="D960" s="106" t="s">
        <v>2781</v>
      </c>
      <c r="E960" s="108">
        <v>2014</v>
      </c>
      <c r="F960" s="109"/>
    </row>
    <row r="961" spans="1:6" ht="16.5" x14ac:dyDescent="0.3">
      <c r="A961" s="106" t="s">
        <v>2782</v>
      </c>
      <c r="B961" s="107" t="s">
        <v>2783</v>
      </c>
      <c r="C961" s="106" t="s">
        <v>879</v>
      </c>
      <c r="D961" s="106" t="s">
        <v>2018</v>
      </c>
      <c r="E961" s="108">
        <v>2014</v>
      </c>
      <c r="F961" s="109"/>
    </row>
    <row r="962" spans="1:6" ht="66" x14ac:dyDescent="0.3">
      <c r="A962" s="106" t="s">
        <v>2784</v>
      </c>
      <c r="B962" s="107" t="s">
        <v>2785</v>
      </c>
      <c r="C962" s="106" t="s">
        <v>906</v>
      </c>
      <c r="D962" s="106" t="s">
        <v>2786</v>
      </c>
      <c r="E962" s="108">
        <v>1999</v>
      </c>
      <c r="F962" s="109" t="s">
        <v>1291</v>
      </c>
    </row>
    <row r="963" spans="1:6" ht="16.5" x14ac:dyDescent="0.3">
      <c r="A963" s="106" t="s">
        <v>2787</v>
      </c>
      <c r="B963" s="107" t="s">
        <v>2788</v>
      </c>
      <c r="C963" s="106" t="s">
        <v>879</v>
      </c>
      <c r="D963" s="106" t="s">
        <v>1251</v>
      </c>
      <c r="E963" s="108">
        <v>1999</v>
      </c>
      <c r="F963" s="109"/>
    </row>
    <row r="964" spans="1:6" ht="66" x14ac:dyDescent="0.3">
      <c r="A964" s="106" t="s">
        <v>2789</v>
      </c>
      <c r="B964" s="107" t="s">
        <v>2790</v>
      </c>
      <c r="C964" s="106" t="s">
        <v>906</v>
      </c>
      <c r="D964" s="108">
        <v>115</v>
      </c>
      <c r="E964" s="108">
        <v>2018</v>
      </c>
      <c r="F964" s="109" t="s">
        <v>2791</v>
      </c>
    </row>
    <row r="965" spans="1:6" ht="16.5" x14ac:dyDescent="0.3">
      <c r="A965" s="106" t="s">
        <v>2792</v>
      </c>
      <c r="B965" s="107" t="s">
        <v>2793</v>
      </c>
      <c r="C965" s="108">
        <v>3</v>
      </c>
      <c r="D965" s="106" t="s">
        <v>1119</v>
      </c>
      <c r="E965" s="108">
        <v>1987</v>
      </c>
      <c r="F965" s="109"/>
    </row>
    <row r="966" spans="1:6" ht="16.5" x14ac:dyDescent="0.3">
      <c r="A966" s="106" t="s">
        <v>2792</v>
      </c>
      <c r="B966" s="107" t="s">
        <v>2794</v>
      </c>
      <c r="C966" s="106" t="s">
        <v>879</v>
      </c>
      <c r="D966" s="106" t="s">
        <v>1119</v>
      </c>
      <c r="E966" s="108">
        <v>1987</v>
      </c>
      <c r="F966" s="109"/>
    </row>
    <row r="967" spans="1:6" ht="16.5" x14ac:dyDescent="0.3">
      <c r="A967" s="106" t="s">
        <v>2795</v>
      </c>
      <c r="B967" s="107" t="s">
        <v>2796</v>
      </c>
      <c r="C967" s="108">
        <v>3</v>
      </c>
      <c r="D967" s="106" t="s">
        <v>1119</v>
      </c>
      <c r="E967" s="108">
        <v>1987</v>
      </c>
      <c r="F967" s="109"/>
    </row>
    <row r="968" spans="1:6" ht="16.5" x14ac:dyDescent="0.3">
      <c r="A968" s="106" t="s">
        <v>2797</v>
      </c>
      <c r="B968" s="107" t="s">
        <v>2798</v>
      </c>
      <c r="C968" s="108">
        <v>3</v>
      </c>
      <c r="D968" s="106" t="s">
        <v>1180</v>
      </c>
      <c r="E968" s="108">
        <v>1994</v>
      </c>
      <c r="F968" s="109"/>
    </row>
    <row r="969" spans="1:6" ht="16.5" x14ac:dyDescent="0.3">
      <c r="A969" s="106" t="s">
        <v>2799</v>
      </c>
      <c r="B969" s="107" t="s">
        <v>2800</v>
      </c>
      <c r="C969" s="108">
        <v>3</v>
      </c>
      <c r="D969" s="106" t="s">
        <v>1321</v>
      </c>
      <c r="E969" s="108">
        <v>1987</v>
      </c>
      <c r="F969" s="109"/>
    </row>
    <row r="970" spans="1:6" ht="16.5" x14ac:dyDescent="0.3">
      <c r="A970" s="106" t="s">
        <v>2801</v>
      </c>
      <c r="B970" s="107" t="s">
        <v>2802</v>
      </c>
      <c r="C970" s="106" t="s">
        <v>879</v>
      </c>
      <c r="D970" s="106" t="s">
        <v>1416</v>
      </c>
      <c r="E970" s="108">
        <v>2001</v>
      </c>
      <c r="F970" s="109"/>
    </row>
    <row r="971" spans="1:6" ht="16.5" x14ac:dyDescent="0.3">
      <c r="A971" s="106" t="s">
        <v>2803</v>
      </c>
      <c r="B971" s="107" t="s">
        <v>2804</v>
      </c>
      <c r="C971" s="108">
        <v>3</v>
      </c>
      <c r="D971" s="106" t="s">
        <v>1642</v>
      </c>
      <c r="E971" s="108">
        <v>1987</v>
      </c>
      <c r="F971" s="109"/>
    </row>
    <row r="972" spans="1:6" ht="16.5" x14ac:dyDescent="0.3">
      <c r="A972" s="106" t="s">
        <v>2805</v>
      </c>
      <c r="B972" s="107" t="s">
        <v>2806</v>
      </c>
      <c r="C972" s="106" t="s">
        <v>906</v>
      </c>
      <c r="D972" s="106" t="s">
        <v>1526</v>
      </c>
      <c r="E972" s="108">
        <v>2010</v>
      </c>
      <c r="F972" s="109"/>
    </row>
    <row r="973" spans="1:6" ht="16.5" x14ac:dyDescent="0.3">
      <c r="A973" s="106" t="s">
        <v>2807</v>
      </c>
      <c r="B973" s="107" t="s">
        <v>2808</v>
      </c>
      <c r="C973" s="108">
        <v>3</v>
      </c>
      <c r="D973" s="108">
        <v>45</v>
      </c>
      <c r="E973" s="108">
        <v>1989</v>
      </c>
      <c r="F973" s="109"/>
    </row>
    <row r="974" spans="1:6" ht="16.5" x14ac:dyDescent="0.3">
      <c r="A974" s="106" t="s">
        <v>2809</v>
      </c>
      <c r="B974" s="107" t="s">
        <v>2810</v>
      </c>
      <c r="C974" s="106"/>
      <c r="D974" s="106" t="s">
        <v>2811</v>
      </c>
      <c r="E974" s="108">
        <v>1987</v>
      </c>
      <c r="F974" s="109"/>
    </row>
    <row r="975" spans="1:6" ht="16.5" x14ac:dyDescent="0.3">
      <c r="A975" s="106" t="s">
        <v>2809</v>
      </c>
      <c r="B975" s="107" t="s">
        <v>2812</v>
      </c>
      <c r="C975" s="108">
        <v>1</v>
      </c>
      <c r="D975" s="106" t="s">
        <v>2813</v>
      </c>
      <c r="E975" s="108">
        <v>2012</v>
      </c>
      <c r="F975" s="109"/>
    </row>
    <row r="976" spans="1:6" ht="16.5" x14ac:dyDescent="0.3">
      <c r="A976" s="106" t="s">
        <v>2814</v>
      </c>
      <c r="B976" s="107" t="s">
        <v>2815</v>
      </c>
      <c r="C976" s="108">
        <v>3</v>
      </c>
      <c r="D976" s="106" t="s">
        <v>1468</v>
      </c>
      <c r="E976" s="108">
        <v>1987</v>
      </c>
      <c r="F976" s="109"/>
    </row>
    <row r="977" spans="1:6" ht="16.5" x14ac:dyDescent="0.3">
      <c r="A977" s="106" t="s">
        <v>2816</v>
      </c>
      <c r="B977" s="107" t="s">
        <v>2817</v>
      </c>
      <c r="C977" s="108">
        <v>3</v>
      </c>
      <c r="D977" s="106" t="s">
        <v>1450</v>
      </c>
      <c r="E977" s="108">
        <v>1987</v>
      </c>
      <c r="F977" s="109"/>
    </row>
    <row r="978" spans="1:6" ht="16.5" x14ac:dyDescent="0.3">
      <c r="A978" s="106" t="s">
        <v>2818</v>
      </c>
      <c r="B978" s="107" t="s">
        <v>2819</v>
      </c>
      <c r="C978" s="108">
        <v>3</v>
      </c>
      <c r="D978" s="106" t="s">
        <v>1590</v>
      </c>
      <c r="E978" s="108">
        <v>1987</v>
      </c>
      <c r="F978" s="109"/>
    </row>
    <row r="979" spans="1:6" ht="49.5" x14ac:dyDescent="0.3">
      <c r="A979" s="106" t="s">
        <v>2820</v>
      </c>
      <c r="B979" s="107" t="s">
        <v>2821</v>
      </c>
      <c r="C979" s="106"/>
      <c r="D979" s="106" t="s">
        <v>2811</v>
      </c>
      <c r="E979" s="108">
        <v>1987</v>
      </c>
      <c r="F979" s="109"/>
    </row>
    <row r="980" spans="1:6" ht="33" x14ac:dyDescent="0.3">
      <c r="A980" s="106" t="s">
        <v>2822</v>
      </c>
      <c r="B980" s="107" t="s">
        <v>2823</v>
      </c>
      <c r="C980" s="106" t="s">
        <v>879</v>
      </c>
      <c r="D980" s="108">
        <v>103</v>
      </c>
      <c r="E980" s="108">
        <v>2013</v>
      </c>
      <c r="F980" s="109"/>
    </row>
    <row r="981" spans="1:6" ht="66" x14ac:dyDescent="0.3">
      <c r="A981" s="106" t="s">
        <v>2824</v>
      </c>
      <c r="B981" s="107" t="s">
        <v>2825</v>
      </c>
      <c r="C981" s="108">
        <v>3</v>
      </c>
      <c r="D981" s="106" t="s">
        <v>1275</v>
      </c>
      <c r="E981" s="108">
        <v>1999</v>
      </c>
      <c r="F981" s="109" t="s">
        <v>1782</v>
      </c>
    </row>
    <row r="982" spans="1:6" ht="16.5" x14ac:dyDescent="0.3">
      <c r="A982" s="106" t="s">
        <v>2826</v>
      </c>
      <c r="B982" s="107" t="s">
        <v>2827</v>
      </c>
      <c r="C982" s="108">
        <v>3</v>
      </c>
      <c r="D982" s="108">
        <v>65</v>
      </c>
      <c r="E982" s="108">
        <v>1996</v>
      </c>
      <c r="F982" s="109"/>
    </row>
    <row r="983" spans="1:6" ht="16.5" x14ac:dyDescent="0.2">
      <c r="A983" s="106" t="s">
        <v>2828</v>
      </c>
      <c r="B983" s="107" t="s">
        <v>2829</v>
      </c>
      <c r="C983" s="106" t="s">
        <v>879</v>
      </c>
      <c r="D983" s="108">
        <v>101</v>
      </c>
      <c r="E983" s="108">
        <v>2013</v>
      </c>
      <c r="F983" s="111"/>
    </row>
    <row r="984" spans="1:6" ht="16.5" x14ac:dyDescent="0.2">
      <c r="A984" s="106" t="s">
        <v>2830</v>
      </c>
      <c r="B984" s="107" t="s">
        <v>2831</v>
      </c>
      <c r="C984" s="108">
        <v>3</v>
      </c>
      <c r="D984" s="106" t="s">
        <v>1280</v>
      </c>
      <c r="E984" s="108">
        <v>1987</v>
      </c>
      <c r="F984" s="111"/>
    </row>
    <row r="985" spans="1:6" ht="16.5" x14ac:dyDescent="0.2">
      <c r="A985" s="106" t="s">
        <v>2832</v>
      </c>
      <c r="B985" s="107" t="s">
        <v>2833</v>
      </c>
      <c r="C985" s="106" t="s">
        <v>879</v>
      </c>
      <c r="D985" s="106" t="s">
        <v>2349</v>
      </c>
      <c r="E985" s="108">
        <v>1990</v>
      </c>
      <c r="F985" s="111"/>
    </row>
    <row r="986" spans="1:6" ht="16.5" x14ac:dyDescent="0.2">
      <c r="A986" s="106" t="s">
        <v>2834</v>
      </c>
      <c r="B986" s="107" t="s">
        <v>2835</v>
      </c>
      <c r="C986" s="108">
        <v>3</v>
      </c>
      <c r="D986" s="106" t="s">
        <v>1227</v>
      </c>
      <c r="E986" s="108">
        <v>1987</v>
      </c>
      <c r="F986" s="111"/>
    </row>
    <row r="987" spans="1:6" ht="16.5" x14ac:dyDescent="0.2">
      <c r="A987" s="106" t="s">
        <v>2836</v>
      </c>
      <c r="B987" s="107" t="s">
        <v>2837</v>
      </c>
      <c r="C987" s="108">
        <v>3</v>
      </c>
      <c r="D987" s="106" t="s">
        <v>1642</v>
      </c>
      <c r="E987" s="108">
        <v>1987</v>
      </c>
      <c r="F987" s="111"/>
    </row>
    <row r="988" spans="1:6" ht="16.5" x14ac:dyDescent="0.2">
      <c r="A988" s="106" t="s">
        <v>2838</v>
      </c>
      <c r="B988" s="107" t="s">
        <v>2839</v>
      </c>
      <c r="C988" s="106" t="s">
        <v>879</v>
      </c>
      <c r="D988" s="108">
        <v>101</v>
      </c>
      <c r="E988" s="108">
        <v>2013</v>
      </c>
      <c r="F988" s="111"/>
    </row>
    <row r="989" spans="1:6" ht="16.5" x14ac:dyDescent="0.2">
      <c r="A989" s="106" t="s">
        <v>2840</v>
      </c>
      <c r="B989" s="107" t="s">
        <v>2841</v>
      </c>
      <c r="C989" s="108">
        <v>3</v>
      </c>
      <c r="D989" s="108">
        <v>66</v>
      </c>
      <c r="E989" s="108">
        <v>1996</v>
      </c>
      <c r="F989" s="111"/>
    </row>
    <row r="990" spans="1:6" ht="16.5" x14ac:dyDescent="0.2">
      <c r="A990" s="106" t="s">
        <v>2842</v>
      </c>
      <c r="B990" s="107" t="s">
        <v>2843</v>
      </c>
      <c r="C990" s="108">
        <v>3</v>
      </c>
      <c r="D990" s="106" t="s">
        <v>1246</v>
      </c>
      <c r="E990" s="108">
        <v>1987</v>
      </c>
      <c r="F990" s="111"/>
    </row>
    <row r="991" spans="1:6" ht="16.5" x14ac:dyDescent="0.2">
      <c r="A991" s="106" t="s">
        <v>2844</v>
      </c>
      <c r="B991" s="107" t="s">
        <v>2845</v>
      </c>
      <c r="C991" s="108">
        <v>3</v>
      </c>
      <c r="D991" s="108">
        <v>92</v>
      </c>
      <c r="E991" s="108">
        <v>2010</v>
      </c>
      <c r="F991" s="111"/>
    </row>
    <row r="992" spans="1:6" ht="16.5" x14ac:dyDescent="0.2">
      <c r="A992" s="106" t="s">
        <v>2846</v>
      </c>
      <c r="B992" s="107" t="s">
        <v>2847</v>
      </c>
      <c r="C992" s="108">
        <v>3</v>
      </c>
      <c r="D992" s="106" t="s">
        <v>1239</v>
      </c>
      <c r="E992" s="108">
        <v>1987</v>
      </c>
      <c r="F992" s="111"/>
    </row>
    <row r="993" spans="1:6" ht="16.5" x14ac:dyDescent="0.2">
      <c r="A993" s="106" t="s">
        <v>2848</v>
      </c>
      <c r="B993" s="107" t="s">
        <v>2849</v>
      </c>
      <c r="C993" s="108">
        <v>3</v>
      </c>
      <c r="D993" s="108">
        <v>65</v>
      </c>
      <c r="E993" s="108">
        <v>1996</v>
      </c>
      <c r="F993" s="111"/>
    </row>
    <row r="994" spans="1:6" ht="16.5" x14ac:dyDescent="0.2">
      <c r="A994" s="106" t="s">
        <v>2850</v>
      </c>
      <c r="B994" s="107" t="s">
        <v>2851</v>
      </c>
      <c r="C994" s="108">
        <v>3</v>
      </c>
      <c r="D994" s="108">
        <v>51</v>
      </c>
      <c r="E994" s="108">
        <v>1991</v>
      </c>
      <c r="F994" s="111"/>
    </row>
    <row r="995" spans="1:6" ht="16.5" x14ac:dyDescent="0.2">
      <c r="A995" s="106" t="s">
        <v>2852</v>
      </c>
      <c r="B995" s="107" t="s">
        <v>2853</v>
      </c>
      <c r="C995" s="108">
        <v>3</v>
      </c>
      <c r="D995" s="106" t="s">
        <v>1526</v>
      </c>
      <c r="E995" s="108">
        <v>2010</v>
      </c>
      <c r="F995" s="111"/>
    </row>
    <row r="996" spans="1:6" ht="16.5" x14ac:dyDescent="0.2">
      <c r="A996" s="106" t="s">
        <v>2854</v>
      </c>
      <c r="B996" s="107" t="s">
        <v>2855</v>
      </c>
      <c r="C996" s="108">
        <v>3</v>
      </c>
      <c r="D996" s="106" t="s">
        <v>1314</v>
      </c>
      <c r="E996" s="108">
        <v>1999</v>
      </c>
      <c r="F996" s="111"/>
    </row>
    <row r="997" spans="1:6" ht="16.5" x14ac:dyDescent="0.2">
      <c r="A997" s="106" t="s">
        <v>2856</v>
      </c>
      <c r="B997" s="107" t="s">
        <v>2857</v>
      </c>
      <c r="C997" s="106" t="s">
        <v>879</v>
      </c>
      <c r="D997" s="106" t="s">
        <v>1429</v>
      </c>
      <c r="E997" s="108">
        <v>1987</v>
      </c>
      <c r="F997" s="111"/>
    </row>
    <row r="998" spans="1:6" ht="16.5" x14ac:dyDescent="0.2">
      <c r="A998" s="106" t="s">
        <v>2858</v>
      </c>
      <c r="B998" s="107" t="s">
        <v>2859</v>
      </c>
      <c r="C998" s="106" t="s">
        <v>879</v>
      </c>
      <c r="D998" s="108">
        <v>101</v>
      </c>
      <c r="E998" s="108">
        <v>2013</v>
      </c>
      <c r="F998" s="111"/>
    </row>
    <row r="999" spans="1:6" ht="16.5" x14ac:dyDescent="0.2">
      <c r="A999" s="106" t="s">
        <v>2860</v>
      </c>
      <c r="B999" s="107" t="s">
        <v>2861</v>
      </c>
      <c r="C999" s="108">
        <v>3</v>
      </c>
      <c r="D999" s="106" t="s">
        <v>1239</v>
      </c>
      <c r="E999" s="108">
        <v>1987</v>
      </c>
      <c r="F999" s="111"/>
    </row>
    <row r="1000" spans="1:6" ht="16.5" x14ac:dyDescent="0.2">
      <c r="A1000" s="106" t="s">
        <v>2862</v>
      </c>
      <c r="B1000" s="107" t="s">
        <v>2863</v>
      </c>
      <c r="C1000" s="108">
        <v>3</v>
      </c>
      <c r="D1000" s="108">
        <v>66</v>
      </c>
      <c r="E1000" s="108">
        <v>1996</v>
      </c>
      <c r="F1000" s="111"/>
    </row>
    <row r="1001" spans="1:6" ht="16.5" x14ac:dyDescent="0.2">
      <c r="A1001" s="106" t="s">
        <v>2864</v>
      </c>
      <c r="B1001" s="107" t="s">
        <v>2865</v>
      </c>
      <c r="C1001" s="108">
        <v>3</v>
      </c>
      <c r="D1001" s="106" t="s">
        <v>1526</v>
      </c>
      <c r="E1001" s="108">
        <v>2010</v>
      </c>
      <c r="F1001" s="111"/>
    </row>
    <row r="1002" spans="1:6" ht="16.5" x14ac:dyDescent="0.2">
      <c r="A1002" s="106" t="s">
        <v>2866</v>
      </c>
      <c r="B1002" s="107" t="s">
        <v>2867</v>
      </c>
      <c r="C1002" s="108">
        <v>3</v>
      </c>
      <c r="D1002" s="106" t="s">
        <v>1275</v>
      </c>
      <c r="E1002" s="108">
        <v>1999</v>
      </c>
      <c r="F1002" s="111"/>
    </row>
    <row r="1003" spans="1:6" ht="16.5" x14ac:dyDescent="0.2">
      <c r="A1003" s="106" t="s">
        <v>2868</v>
      </c>
      <c r="B1003" s="107" t="s">
        <v>2869</v>
      </c>
      <c r="C1003" s="108">
        <v>3</v>
      </c>
      <c r="D1003" s="106" t="s">
        <v>1239</v>
      </c>
      <c r="E1003" s="108">
        <v>1987</v>
      </c>
      <c r="F1003" s="111"/>
    </row>
    <row r="1004" spans="1:6" ht="16.5" x14ac:dyDescent="0.2">
      <c r="A1004" s="106" t="s">
        <v>2870</v>
      </c>
      <c r="B1004" s="107" t="s">
        <v>2871</v>
      </c>
      <c r="C1004" s="108">
        <v>3</v>
      </c>
      <c r="D1004" s="106" t="s">
        <v>1239</v>
      </c>
      <c r="E1004" s="108">
        <v>1987</v>
      </c>
      <c r="F1004" s="111"/>
    </row>
    <row r="1005" spans="1:6" ht="16.5" x14ac:dyDescent="0.2">
      <c r="A1005" s="106" t="s">
        <v>2872</v>
      </c>
      <c r="B1005" s="107" t="s">
        <v>2873</v>
      </c>
      <c r="C1005" s="108">
        <v>3</v>
      </c>
      <c r="D1005" s="106" t="s">
        <v>1239</v>
      </c>
      <c r="E1005" s="108">
        <v>1987</v>
      </c>
      <c r="F1005" s="111"/>
    </row>
    <row r="1006" spans="1:6" ht="16.5" x14ac:dyDescent="0.2">
      <c r="A1006" s="106" t="s">
        <v>2874</v>
      </c>
      <c r="B1006" s="107" t="s">
        <v>2875</v>
      </c>
      <c r="C1006" s="108">
        <v>3</v>
      </c>
      <c r="D1006" s="106" t="s">
        <v>2327</v>
      </c>
      <c r="E1006" s="108">
        <v>2004</v>
      </c>
      <c r="F1006" s="111"/>
    </row>
    <row r="1007" spans="1:6" ht="16.5" x14ac:dyDescent="0.2">
      <c r="A1007" s="106" t="s">
        <v>2876</v>
      </c>
      <c r="B1007" s="107" t="s">
        <v>2877</v>
      </c>
      <c r="C1007" s="108">
        <v>3</v>
      </c>
      <c r="D1007" s="106" t="s">
        <v>929</v>
      </c>
      <c r="E1007" s="108">
        <v>1987</v>
      </c>
      <c r="F1007" s="111"/>
    </row>
    <row r="1008" spans="1:6" ht="16.5" x14ac:dyDescent="0.2">
      <c r="A1008" s="106" t="s">
        <v>2878</v>
      </c>
      <c r="B1008" s="107" t="s">
        <v>2879</v>
      </c>
      <c r="C1008" s="108">
        <v>3</v>
      </c>
      <c r="D1008" s="106" t="s">
        <v>929</v>
      </c>
      <c r="E1008" s="108">
        <v>1987</v>
      </c>
      <c r="F1008" s="111"/>
    </row>
    <row r="1009" spans="1:6" ht="16.5" x14ac:dyDescent="0.2">
      <c r="A1009" s="106" t="s">
        <v>2880</v>
      </c>
      <c r="B1009" s="107" t="s">
        <v>2881</v>
      </c>
      <c r="C1009" s="108">
        <v>3</v>
      </c>
      <c r="D1009" s="106" t="s">
        <v>1227</v>
      </c>
      <c r="E1009" s="108">
        <v>1987</v>
      </c>
      <c r="F1009" s="111"/>
    </row>
    <row r="1010" spans="1:6" ht="16.5" x14ac:dyDescent="0.2">
      <c r="A1010" s="106" t="s">
        <v>2882</v>
      </c>
      <c r="B1010" s="107" t="s">
        <v>2883</v>
      </c>
      <c r="C1010" s="108">
        <v>3</v>
      </c>
      <c r="D1010" s="106" t="s">
        <v>1119</v>
      </c>
      <c r="E1010" s="108">
        <v>1987</v>
      </c>
      <c r="F1010" s="111"/>
    </row>
    <row r="1011" spans="1:6" ht="16.5" x14ac:dyDescent="0.2">
      <c r="A1011" s="106" t="s">
        <v>2884</v>
      </c>
      <c r="B1011" s="107" t="s">
        <v>2885</v>
      </c>
      <c r="C1011" s="108">
        <v>3</v>
      </c>
      <c r="D1011" s="108">
        <v>46</v>
      </c>
      <c r="E1011" s="108">
        <v>1989</v>
      </c>
      <c r="F1011" s="111"/>
    </row>
    <row r="1012" spans="1:6" ht="16.5" x14ac:dyDescent="0.2">
      <c r="A1012" s="106" t="s">
        <v>2886</v>
      </c>
      <c r="B1012" s="107" t="s">
        <v>2887</v>
      </c>
      <c r="C1012" s="108">
        <v>3</v>
      </c>
      <c r="D1012" s="106" t="s">
        <v>1526</v>
      </c>
      <c r="E1012" s="108">
        <v>2010</v>
      </c>
      <c r="F1012" s="111"/>
    </row>
    <row r="1013" spans="1:6" ht="16.5" x14ac:dyDescent="0.2">
      <c r="A1013" s="106" t="s">
        <v>2888</v>
      </c>
      <c r="B1013" s="107" t="s">
        <v>2889</v>
      </c>
      <c r="C1013" s="106" t="s">
        <v>879</v>
      </c>
      <c r="D1013" s="106" t="s">
        <v>2890</v>
      </c>
      <c r="E1013" s="108">
        <v>2013</v>
      </c>
      <c r="F1013" s="111"/>
    </row>
    <row r="1014" spans="1:6" ht="16.5" x14ac:dyDescent="0.2">
      <c r="A1014" s="106" t="s">
        <v>2891</v>
      </c>
      <c r="B1014" s="107" t="s">
        <v>2892</v>
      </c>
      <c r="C1014" s="108">
        <v>3</v>
      </c>
      <c r="D1014" s="106" t="s">
        <v>1390</v>
      </c>
      <c r="E1014" s="108">
        <v>1987</v>
      </c>
      <c r="F1014" s="111"/>
    </row>
    <row r="1015" spans="1:6" ht="16.5" x14ac:dyDescent="0.3">
      <c r="A1015" s="106" t="s">
        <v>2893</v>
      </c>
      <c r="B1015" s="107" t="s">
        <v>2894</v>
      </c>
      <c r="C1015" s="106" t="s">
        <v>879</v>
      </c>
      <c r="D1015" s="106" t="s">
        <v>2895</v>
      </c>
      <c r="E1015" s="106" t="s">
        <v>976</v>
      </c>
      <c r="F1015" s="109"/>
    </row>
    <row r="1016" spans="1:6" ht="16.5" x14ac:dyDescent="0.3">
      <c r="A1016" s="106" t="s">
        <v>2896</v>
      </c>
      <c r="B1016" s="107" t="s">
        <v>2897</v>
      </c>
      <c r="C1016" s="108">
        <v>3</v>
      </c>
      <c r="D1016" s="106" t="s">
        <v>1236</v>
      </c>
      <c r="E1016" s="108">
        <v>2000</v>
      </c>
      <c r="F1016" s="109"/>
    </row>
    <row r="1017" spans="1:6" ht="16.5" x14ac:dyDescent="0.3">
      <c r="A1017" s="106" t="s">
        <v>2898</v>
      </c>
      <c r="B1017" s="107" t="s">
        <v>2899</v>
      </c>
      <c r="C1017" s="106" t="s">
        <v>879</v>
      </c>
      <c r="D1017" s="108">
        <v>57</v>
      </c>
      <c r="E1017" s="108">
        <v>1993</v>
      </c>
      <c r="F1017" s="109"/>
    </row>
    <row r="1018" spans="1:6" ht="16.5" x14ac:dyDescent="0.3">
      <c r="A1018" s="106" t="s">
        <v>2900</v>
      </c>
      <c r="B1018" s="107" t="s">
        <v>2901</v>
      </c>
      <c r="C1018" s="108">
        <v>3</v>
      </c>
      <c r="D1018" s="108">
        <v>73</v>
      </c>
      <c r="E1018" s="108">
        <v>1999</v>
      </c>
      <c r="F1018" s="109"/>
    </row>
    <row r="1019" spans="1:6" ht="16.5" x14ac:dyDescent="0.3">
      <c r="A1019" s="106" t="s">
        <v>2902</v>
      </c>
      <c r="B1019" s="107" t="s">
        <v>2903</v>
      </c>
      <c r="C1019" s="108">
        <v>1</v>
      </c>
      <c r="D1019" s="106" t="s">
        <v>2904</v>
      </c>
      <c r="E1019" s="108">
        <v>2019</v>
      </c>
      <c r="F1019" s="109"/>
    </row>
    <row r="1020" spans="1:6" ht="16.5" x14ac:dyDescent="0.3">
      <c r="A1020" s="106" t="s">
        <v>2905</v>
      </c>
      <c r="B1020" s="107" t="s">
        <v>2906</v>
      </c>
      <c r="C1020" s="108">
        <v>3</v>
      </c>
      <c r="D1020" s="106" t="s">
        <v>929</v>
      </c>
      <c r="E1020" s="108">
        <v>1987</v>
      </c>
      <c r="F1020" s="109"/>
    </row>
    <row r="1021" spans="1:6" ht="16.5" x14ac:dyDescent="0.3">
      <c r="A1021" s="106" t="s">
        <v>2907</v>
      </c>
      <c r="B1021" s="107" t="s">
        <v>2908</v>
      </c>
      <c r="C1021" s="108">
        <v>3</v>
      </c>
      <c r="D1021" s="106" t="s">
        <v>1227</v>
      </c>
      <c r="E1021" s="108">
        <v>1987</v>
      </c>
      <c r="F1021" s="109"/>
    </row>
    <row r="1022" spans="1:6" ht="16.5" x14ac:dyDescent="0.3">
      <c r="A1022" s="106" t="s">
        <v>2909</v>
      </c>
      <c r="B1022" s="107" t="s">
        <v>2910</v>
      </c>
      <c r="C1022" s="106" t="s">
        <v>879</v>
      </c>
      <c r="D1022" s="108">
        <v>117</v>
      </c>
      <c r="E1022" s="108">
        <v>2019</v>
      </c>
      <c r="F1022" s="109"/>
    </row>
    <row r="1023" spans="1:6" ht="16.5" x14ac:dyDescent="0.3">
      <c r="A1023" s="106" t="s">
        <v>2911</v>
      </c>
      <c r="B1023" s="107" t="s">
        <v>2912</v>
      </c>
      <c r="C1023" s="108">
        <v>3</v>
      </c>
      <c r="D1023" s="106" t="s">
        <v>1213</v>
      </c>
      <c r="E1023" s="108">
        <v>1999</v>
      </c>
      <c r="F1023" s="109"/>
    </row>
    <row r="1024" spans="1:6" ht="66" x14ac:dyDescent="0.3">
      <c r="A1024" s="106" t="s">
        <v>2913</v>
      </c>
      <c r="B1024" s="107" t="s">
        <v>2914</v>
      </c>
      <c r="C1024" s="106" t="s">
        <v>906</v>
      </c>
      <c r="D1024" s="108">
        <v>101</v>
      </c>
      <c r="E1024" s="108">
        <v>2013</v>
      </c>
      <c r="F1024" s="109" t="s">
        <v>1291</v>
      </c>
    </row>
    <row r="1025" spans="1:6" ht="16.5" x14ac:dyDescent="0.3">
      <c r="A1025" s="106" t="s">
        <v>2915</v>
      </c>
      <c r="B1025" s="107" t="s">
        <v>2916</v>
      </c>
      <c r="C1025" s="106" t="s">
        <v>879</v>
      </c>
      <c r="D1025" s="106" t="s">
        <v>1175</v>
      </c>
      <c r="E1025" s="106" t="s">
        <v>1083</v>
      </c>
      <c r="F1025" s="109"/>
    </row>
    <row r="1026" spans="1:6" ht="49.5" x14ac:dyDescent="0.3">
      <c r="A1026" s="106" t="s">
        <v>2917</v>
      </c>
      <c r="B1026" s="107" t="s">
        <v>2918</v>
      </c>
      <c r="C1026" s="106"/>
      <c r="D1026" s="106"/>
      <c r="E1026" s="106"/>
      <c r="F1026" s="109"/>
    </row>
    <row r="1027" spans="1:6" ht="16.5" x14ac:dyDescent="0.3">
      <c r="A1027" s="106" t="s">
        <v>2919</v>
      </c>
      <c r="B1027" s="107" t="s">
        <v>2920</v>
      </c>
      <c r="C1027" s="106" t="s">
        <v>879</v>
      </c>
      <c r="D1027" s="106" t="s">
        <v>1175</v>
      </c>
      <c r="E1027" s="106" t="s">
        <v>1083</v>
      </c>
      <c r="F1027" s="109"/>
    </row>
    <row r="1028" spans="1:6" ht="16.5" x14ac:dyDescent="0.3">
      <c r="A1028" s="106" t="s">
        <v>2921</v>
      </c>
      <c r="B1028" s="107" t="s">
        <v>2922</v>
      </c>
      <c r="C1028" s="106" t="s">
        <v>879</v>
      </c>
      <c r="D1028" s="108">
        <v>108</v>
      </c>
      <c r="E1028" s="108">
        <v>2016</v>
      </c>
      <c r="F1028" s="109"/>
    </row>
    <row r="1029" spans="1:6" ht="16.5" x14ac:dyDescent="0.3">
      <c r="A1029" s="106" t="s">
        <v>2923</v>
      </c>
      <c r="B1029" s="107" t="s">
        <v>2924</v>
      </c>
      <c r="C1029" s="108">
        <v>3</v>
      </c>
      <c r="D1029" s="106" t="s">
        <v>1071</v>
      </c>
      <c r="E1029" s="108">
        <v>1987</v>
      </c>
      <c r="F1029" s="109"/>
    </row>
    <row r="1030" spans="1:6" ht="16.5" x14ac:dyDescent="0.3">
      <c r="A1030" s="106" t="s">
        <v>2925</v>
      </c>
      <c r="B1030" s="107" t="s">
        <v>2926</v>
      </c>
      <c r="C1030" s="108">
        <v>3</v>
      </c>
      <c r="D1030" s="108">
        <v>66</v>
      </c>
      <c r="E1030" s="108">
        <v>1996</v>
      </c>
      <c r="F1030" s="109"/>
    </row>
    <row r="1031" spans="1:6" ht="16.5" x14ac:dyDescent="0.2">
      <c r="A1031" s="106" t="s">
        <v>2927</v>
      </c>
      <c r="B1031" s="107" t="s">
        <v>2928</v>
      </c>
      <c r="C1031" s="106" t="s">
        <v>906</v>
      </c>
      <c r="D1031" s="106" t="s">
        <v>2929</v>
      </c>
      <c r="E1031" s="106" t="s">
        <v>911</v>
      </c>
      <c r="F1031" s="111"/>
    </row>
    <row r="1032" spans="1:6" ht="16.5" x14ac:dyDescent="0.2">
      <c r="A1032" s="106" t="s">
        <v>2930</v>
      </c>
      <c r="B1032" s="107" t="s">
        <v>2931</v>
      </c>
      <c r="C1032" s="108">
        <v>3</v>
      </c>
      <c r="D1032" s="108">
        <v>73</v>
      </c>
      <c r="E1032" s="108">
        <v>1999</v>
      </c>
      <c r="F1032" s="111"/>
    </row>
    <row r="1033" spans="1:6" ht="16.5" x14ac:dyDescent="0.2">
      <c r="A1033" s="106" t="s">
        <v>2932</v>
      </c>
      <c r="B1033" s="107" t="s">
        <v>2933</v>
      </c>
      <c r="C1033" s="108">
        <v>3</v>
      </c>
      <c r="D1033" s="106" t="s">
        <v>1196</v>
      </c>
      <c r="E1033" s="108">
        <v>1987</v>
      </c>
      <c r="F1033" s="111"/>
    </row>
    <row r="1034" spans="1:6" ht="16.5" x14ac:dyDescent="0.2">
      <c r="A1034" s="106" t="s">
        <v>2934</v>
      </c>
      <c r="B1034" s="107" t="s">
        <v>2935</v>
      </c>
      <c r="C1034" s="106" t="s">
        <v>879</v>
      </c>
      <c r="D1034" s="108">
        <v>99</v>
      </c>
      <c r="E1034" s="108">
        <v>2010</v>
      </c>
      <c r="F1034" s="111"/>
    </row>
    <row r="1035" spans="1:6" ht="16.5" x14ac:dyDescent="0.2">
      <c r="A1035" s="106" t="s">
        <v>2936</v>
      </c>
      <c r="B1035" s="107" t="s">
        <v>2937</v>
      </c>
      <c r="C1035" s="108">
        <v>3</v>
      </c>
      <c r="D1035" s="106" t="s">
        <v>1450</v>
      </c>
      <c r="E1035" s="108">
        <v>1987</v>
      </c>
      <c r="F1035" s="111"/>
    </row>
    <row r="1036" spans="1:6" ht="16.5" x14ac:dyDescent="0.2">
      <c r="A1036" s="106" t="s">
        <v>2938</v>
      </c>
      <c r="B1036" s="107" t="s">
        <v>2939</v>
      </c>
      <c r="C1036" s="106" t="s">
        <v>879</v>
      </c>
      <c r="D1036" s="108">
        <v>108</v>
      </c>
      <c r="E1036" s="108">
        <v>2016</v>
      </c>
      <c r="F1036" s="111"/>
    </row>
    <row r="1037" spans="1:6" ht="16.5" x14ac:dyDescent="0.2">
      <c r="A1037" s="106" t="s">
        <v>2940</v>
      </c>
      <c r="B1037" s="107" t="s">
        <v>2941</v>
      </c>
      <c r="C1037" s="108">
        <v>3</v>
      </c>
      <c r="D1037" s="106" t="s">
        <v>896</v>
      </c>
      <c r="E1037" s="108">
        <v>1987</v>
      </c>
      <c r="F1037" s="111"/>
    </row>
    <row r="1038" spans="1:6" ht="16.5" x14ac:dyDescent="0.2">
      <c r="A1038" s="106" t="s">
        <v>2942</v>
      </c>
      <c r="B1038" s="107" t="s">
        <v>2943</v>
      </c>
      <c r="C1038" s="108">
        <v>3</v>
      </c>
      <c r="D1038" s="106" t="s">
        <v>896</v>
      </c>
      <c r="E1038" s="108">
        <v>1987</v>
      </c>
      <c r="F1038" s="111"/>
    </row>
    <row r="1039" spans="1:6" ht="16.5" x14ac:dyDescent="0.2">
      <c r="A1039" s="106" t="s">
        <v>2944</v>
      </c>
      <c r="B1039" s="107" t="s">
        <v>2945</v>
      </c>
      <c r="C1039" s="108">
        <v>3</v>
      </c>
      <c r="D1039" s="106" t="s">
        <v>896</v>
      </c>
      <c r="E1039" s="108">
        <v>1987</v>
      </c>
      <c r="F1039" s="111"/>
    </row>
    <row r="1040" spans="1:6" ht="16.5" x14ac:dyDescent="0.2">
      <c r="A1040" s="106" t="s">
        <v>2946</v>
      </c>
      <c r="B1040" s="107" t="s">
        <v>2947</v>
      </c>
      <c r="C1040" s="108">
        <v>3</v>
      </c>
      <c r="D1040" s="106" t="s">
        <v>896</v>
      </c>
      <c r="E1040" s="108">
        <v>1987</v>
      </c>
      <c r="F1040" s="111"/>
    </row>
    <row r="1041" spans="1:6" ht="16.5" x14ac:dyDescent="0.2">
      <c r="A1041" s="106" t="s">
        <v>2948</v>
      </c>
      <c r="B1041" s="107" t="s">
        <v>2949</v>
      </c>
      <c r="C1041" s="108">
        <v>3</v>
      </c>
      <c r="D1041" s="106" t="s">
        <v>896</v>
      </c>
      <c r="E1041" s="108">
        <v>1987</v>
      </c>
      <c r="F1041" s="111"/>
    </row>
    <row r="1042" spans="1:6" ht="16.5" x14ac:dyDescent="0.2">
      <c r="A1042" s="106" t="s">
        <v>2950</v>
      </c>
      <c r="B1042" s="107" t="s">
        <v>2951</v>
      </c>
      <c r="C1042" s="108">
        <v>3</v>
      </c>
      <c r="D1042" s="106" t="s">
        <v>896</v>
      </c>
      <c r="E1042" s="108">
        <v>1987</v>
      </c>
      <c r="F1042" s="111"/>
    </row>
    <row r="1043" spans="1:6" ht="16.5" x14ac:dyDescent="0.2">
      <c r="A1043" s="106" t="s">
        <v>2952</v>
      </c>
      <c r="B1043" s="107" t="s">
        <v>2953</v>
      </c>
      <c r="C1043" s="108">
        <v>3</v>
      </c>
      <c r="D1043" s="106" t="s">
        <v>896</v>
      </c>
      <c r="E1043" s="108">
        <v>1987</v>
      </c>
      <c r="F1043" s="111"/>
    </row>
    <row r="1044" spans="1:6" ht="16.5" x14ac:dyDescent="0.2">
      <c r="A1044" s="106" t="s">
        <v>2954</v>
      </c>
      <c r="B1044" s="107" t="s">
        <v>2955</v>
      </c>
      <c r="C1044" s="108">
        <v>3</v>
      </c>
      <c r="D1044" s="106" t="s">
        <v>896</v>
      </c>
      <c r="E1044" s="108">
        <v>1987</v>
      </c>
      <c r="F1044" s="111"/>
    </row>
    <row r="1045" spans="1:6" ht="16.5" x14ac:dyDescent="0.2">
      <c r="A1045" s="106" t="s">
        <v>2956</v>
      </c>
      <c r="B1045" s="107" t="s">
        <v>2957</v>
      </c>
      <c r="C1045" s="108">
        <v>3</v>
      </c>
      <c r="D1045" s="106" t="s">
        <v>1213</v>
      </c>
      <c r="E1045" s="108">
        <v>1987</v>
      </c>
      <c r="F1045" s="111"/>
    </row>
    <row r="1046" spans="1:6" ht="16.5" x14ac:dyDescent="0.2">
      <c r="A1046" s="106" t="s">
        <v>2958</v>
      </c>
      <c r="B1046" s="107" t="s">
        <v>2959</v>
      </c>
      <c r="C1046" s="108">
        <v>3</v>
      </c>
      <c r="D1046" s="106" t="s">
        <v>896</v>
      </c>
      <c r="E1046" s="108">
        <v>1987</v>
      </c>
      <c r="F1046" s="111"/>
    </row>
    <row r="1047" spans="1:6" ht="16.5" x14ac:dyDescent="0.3">
      <c r="A1047" s="106" t="s">
        <v>2960</v>
      </c>
      <c r="B1047" s="107" t="s">
        <v>2961</v>
      </c>
      <c r="C1047" s="108">
        <v>3</v>
      </c>
      <c r="D1047" s="106" t="s">
        <v>2962</v>
      </c>
      <c r="E1047" s="108">
        <v>1987</v>
      </c>
      <c r="F1047" s="109"/>
    </row>
    <row r="1048" spans="1:6" ht="16.5" x14ac:dyDescent="0.3">
      <c r="A1048" s="106" t="s">
        <v>2963</v>
      </c>
      <c r="B1048" s="107" t="s">
        <v>2964</v>
      </c>
      <c r="C1048" s="108">
        <v>3</v>
      </c>
      <c r="D1048" s="106" t="s">
        <v>896</v>
      </c>
      <c r="E1048" s="108">
        <v>1987</v>
      </c>
      <c r="F1048" s="109"/>
    </row>
    <row r="1049" spans="1:6" ht="16.5" x14ac:dyDescent="0.3">
      <c r="A1049" s="106" t="s">
        <v>2965</v>
      </c>
      <c r="B1049" s="107" t="s">
        <v>2966</v>
      </c>
      <c r="C1049" s="108">
        <v>3</v>
      </c>
      <c r="D1049" s="106" t="s">
        <v>1590</v>
      </c>
      <c r="E1049" s="108">
        <v>1987</v>
      </c>
      <c r="F1049" s="109"/>
    </row>
    <row r="1050" spans="1:6" ht="16.5" x14ac:dyDescent="0.3">
      <c r="A1050" s="106" t="s">
        <v>2967</v>
      </c>
      <c r="B1050" s="107" t="s">
        <v>2968</v>
      </c>
      <c r="C1050" s="106" t="s">
        <v>879</v>
      </c>
      <c r="D1050" s="106" t="s">
        <v>1590</v>
      </c>
      <c r="E1050" s="108">
        <v>1987</v>
      </c>
      <c r="F1050" s="109"/>
    </row>
    <row r="1051" spans="1:6" ht="16.5" x14ac:dyDescent="0.3">
      <c r="A1051" s="106" t="s">
        <v>2969</v>
      </c>
      <c r="B1051" s="107" t="s">
        <v>2970</v>
      </c>
      <c r="C1051" s="106" t="s">
        <v>879</v>
      </c>
      <c r="D1051" s="108">
        <v>108</v>
      </c>
      <c r="E1051" s="108">
        <v>2016</v>
      </c>
      <c r="F1051" s="109"/>
    </row>
    <row r="1052" spans="1:6" ht="16.5" x14ac:dyDescent="0.3">
      <c r="A1052" s="106" t="s">
        <v>2971</v>
      </c>
      <c r="B1052" s="107" t="s">
        <v>2972</v>
      </c>
      <c r="C1052" s="108">
        <v>3</v>
      </c>
      <c r="D1052" s="106" t="s">
        <v>896</v>
      </c>
      <c r="E1052" s="108">
        <v>1987</v>
      </c>
      <c r="F1052" s="109"/>
    </row>
    <row r="1053" spans="1:6" ht="16.5" x14ac:dyDescent="0.3">
      <c r="A1053" s="106" t="s">
        <v>2973</v>
      </c>
      <c r="B1053" s="107" t="s">
        <v>2974</v>
      </c>
      <c r="C1053" s="108">
        <v>3</v>
      </c>
      <c r="D1053" s="106" t="s">
        <v>896</v>
      </c>
      <c r="E1053" s="108">
        <v>1987</v>
      </c>
      <c r="F1053" s="109"/>
    </row>
    <row r="1054" spans="1:6" ht="16.5" x14ac:dyDescent="0.3">
      <c r="A1054" s="106" t="s">
        <v>2975</v>
      </c>
      <c r="B1054" s="107" t="s">
        <v>2976</v>
      </c>
      <c r="C1054" s="108">
        <v>3</v>
      </c>
      <c r="D1054" s="106" t="s">
        <v>896</v>
      </c>
      <c r="E1054" s="108">
        <v>1987</v>
      </c>
      <c r="F1054" s="109"/>
    </row>
    <row r="1055" spans="1:6" ht="16.5" x14ac:dyDescent="0.3">
      <c r="A1055" s="106" t="s">
        <v>2977</v>
      </c>
      <c r="B1055" s="107" t="s">
        <v>2978</v>
      </c>
      <c r="C1055" s="108">
        <v>3</v>
      </c>
      <c r="D1055" s="106" t="s">
        <v>896</v>
      </c>
      <c r="E1055" s="108">
        <v>1987</v>
      </c>
      <c r="F1055" s="109"/>
    </row>
    <row r="1056" spans="1:6" ht="16.5" x14ac:dyDescent="0.3">
      <c r="A1056" s="106" t="s">
        <v>2979</v>
      </c>
      <c r="B1056" s="107" t="s">
        <v>2980</v>
      </c>
      <c r="C1056" s="108">
        <v>3</v>
      </c>
      <c r="D1056" s="106" t="s">
        <v>896</v>
      </c>
      <c r="E1056" s="108">
        <v>1987</v>
      </c>
      <c r="F1056" s="109"/>
    </row>
    <row r="1057" spans="1:6" ht="16.5" x14ac:dyDescent="0.3">
      <c r="A1057" s="106" t="s">
        <v>2981</v>
      </c>
      <c r="B1057" s="107" t="s">
        <v>2982</v>
      </c>
      <c r="C1057" s="108">
        <v>3</v>
      </c>
      <c r="D1057" s="106" t="s">
        <v>907</v>
      </c>
      <c r="E1057" s="108">
        <v>1987</v>
      </c>
      <c r="F1057" s="109"/>
    </row>
    <row r="1058" spans="1:6" ht="16.5" x14ac:dyDescent="0.3">
      <c r="A1058" s="106" t="s">
        <v>2983</v>
      </c>
      <c r="B1058" s="107" t="s">
        <v>2984</v>
      </c>
      <c r="C1058" s="106" t="s">
        <v>879</v>
      </c>
      <c r="D1058" s="108">
        <v>82</v>
      </c>
      <c r="E1058" s="108">
        <v>2002</v>
      </c>
      <c r="F1058" s="109"/>
    </row>
    <row r="1059" spans="1:6" ht="16.5" x14ac:dyDescent="0.3">
      <c r="A1059" s="106" t="s">
        <v>2985</v>
      </c>
      <c r="B1059" s="107" t="s">
        <v>2986</v>
      </c>
      <c r="C1059" s="106" t="s">
        <v>879</v>
      </c>
      <c r="D1059" s="108">
        <v>121</v>
      </c>
      <c r="E1059" s="108">
        <v>2019</v>
      </c>
      <c r="F1059" s="109"/>
    </row>
    <row r="1060" spans="1:6" ht="33" x14ac:dyDescent="0.3">
      <c r="A1060" s="106" t="s">
        <v>2987</v>
      </c>
      <c r="B1060" s="107" t="s">
        <v>2988</v>
      </c>
      <c r="C1060" s="106" t="s">
        <v>906</v>
      </c>
      <c r="D1060" s="106" t="s">
        <v>2989</v>
      </c>
      <c r="E1060" s="106" t="s">
        <v>911</v>
      </c>
      <c r="F1060" s="109" t="s">
        <v>2990</v>
      </c>
    </row>
    <row r="1061" spans="1:6" ht="16.5" x14ac:dyDescent="0.3">
      <c r="A1061" s="106" t="s">
        <v>2991</v>
      </c>
      <c r="B1061" s="107" t="s">
        <v>2992</v>
      </c>
      <c r="C1061" s="108">
        <v>1</v>
      </c>
      <c r="D1061" s="106" t="s">
        <v>2993</v>
      </c>
      <c r="E1061" s="108">
        <v>2012</v>
      </c>
      <c r="F1061" s="109"/>
    </row>
    <row r="1062" spans="1:6" ht="16.5" x14ac:dyDescent="0.3">
      <c r="A1062" s="106" t="s">
        <v>2994</v>
      </c>
      <c r="B1062" s="107" t="s">
        <v>2995</v>
      </c>
      <c r="C1062" s="108">
        <v>3</v>
      </c>
      <c r="D1062" s="106" t="s">
        <v>1236</v>
      </c>
      <c r="E1062" s="108">
        <v>2000</v>
      </c>
      <c r="F1062" s="109"/>
    </row>
    <row r="1063" spans="1:6" ht="16.5" x14ac:dyDescent="0.2">
      <c r="A1063" s="106" t="s">
        <v>2996</v>
      </c>
      <c r="B1063" s="107" t="s">
        <v>2997</v>
      </c>
      <c r="C1063" s="108">
        <v>3</v>
      </c>
      <c r="D1063" s="106" t="s">
        <v>1216</v>
      </c>
      <c r="E1063" s="108">
        <v>1987</v>
      </c>
      <c r="F1063" s="111"/>
    </row>
    <row r="1064" spans="1:6" ht="16.5" x14ac:dyDescent="0.2">
      <c r="A1064" s="106" t="s">
        <v>2998</v>
      </c>
      <c r="B1064" s="107" t="s">
        <v>2999</v>
      </c>
      <c r="C1064" s="106" t="s">
        <v>879</v>
      </c>
      <c r="D1064" s="106" t="s">
        <v>1219</v>
      </c>
      <c r="E1064" s="108">
        <v>1987</v>
      </c>
      <c r="F1064" s="111"/>
    </row>
    <row r="1065" spans="1:6" ht="16.5" x14ac:dyDescent="0.2">
      <c r="A1065" s="106" t="s">
        <v>3000</v>
      </c>
      <c r="B1065" s="107" t="s">
        <v>3001</v>
      </c>
      <c r="C1065" s="108">
        <v>3</v>
      </c>
      <c r="D1065" s="106" t="s">
        <v>1239</v>
      </c>
      <c r="E1065" s="108">
        <v>1987</v>
      </c>
      <c r="F1065" s="111"/>
    </row>
    <row r="1066" spans="1:6" ht="16.5" x14ac:dyDescent="0.2">
      <c r="A1066" s="106" t="s">
        <v>3002</v>
      </c>
      <c r="B1066" s="107" t="s">
        <v>3003</v>
      </c>
      <c r="C1066" s="108">
        <v>1</v>
      </c>
      <c r="D1066" s="106" t="s">
        <v>2165</v>
      </c>
      <c r="E1066" s="108">
        <v>2012</v>
      </c>
      <c r="F1066" s="111"/>
    </row>
    <row r="1067" spans="1:6" ht="16.5" x14ac:dyDescent="0.2">
      <c r="A1067" s="106" t="s">
        <v>3004</v>
      </c>
      <c r="B1067" s="107" t="s">
        <v>3005</v>
      </c>
      <c r="C1067" s="108">
        <v>1</v>
      </c>
      <c r="D1067" s="106" t="s">
        <v>3006</v>
      </c>
      <c r="E1067" s="108">
        <v>2012</v>
      </c>
      <c r="F1067" s="111"/>
    </row>
    <row r="1068" spans="1:6" ht="16.5" x14ac:dyDescent="0.2">
      <c r="A1068" s="106" t="s">
        <v>3007</v>
      </c>
      <c r="B1068" s="107" t="s">
        <v>3008</v>
      </c>
      <c r="C1068" s="108">
        <v>3</v>
      </c>
      <c r="D1068" s="106" t="s">
        <v>1429</v>
      </c>
      <c r="E1068" s="108">
        <v>1987</v>
      </c>
      <c r="F1068" s="111"/>
    </row>
    <row r="1069" spans="1:6" ht="16.5" x14ac:dyDescent="0.2">
      <c r="A1069" s="106" t="s">
        <v>3009</v>
      </c>
      <c r="B1069" s="107" t="s">
        <v>3010</v>
      </c>
      <c r="C1069" s="106" t="s">
        <v>879</v>
      </c>
      <c r="D1069" s="106" t="s">
        <v>1188</v>
      </c>
      <c r="E1069" s="108">
        <v>1987</v>
      </c>
      <c r="F1069" s="111"/>
    </row>
    <row r="1070" spans="1:6" ht="16.5" x14ac:dyDescent="0.2">
      <c r="A1070" s="106" t="s">
        <v>3011</v>
      </c>
      <c r="B1070" s="107" t="s">
        <v>3012</v>
      </c>
      <c r="C1070" s="106" t="s">
        <v>879</v>
      </c>
      <c r="D1070" s="106" t="s">
        <v>3013</v>
      </c>
      <c r="E1070" s="106" t="s">
        <v>1474</v>
      </c>
      <c r="F1070" s="111"/>
    </row>
    <row r="1071" spans="1:6" ht="16.5" x14ac:dyDescent="0.2">
      <c r="A1071" s="106" t="s">
        <v>3014</v>
      </c>
      <c r="B1071" s="107" t="s">
        <v>3015</v>
      </c>
      <c r="C1071" s="106" t="s">
        <v>879</v>
      </c>
      <c r="D1071" s="108">
        <v>101</v>
      </c>
      <c r="E1071" s="108">
        <v>2013</v>
      </c>
      <c r="F1071" s="111"/>
    </row>
    <row r="1072" spans="1:6" ht="16.5" x14ac:dyDescent="0.2">
      <c r="A1072" s="106" t="s">
        <v>3016</v>
      </c>
      <c r="B1072" s="107" t="s">
        <v>3017</v>
      </c>
      <c r="C1072" s="106" t="s">
        <v>879</v>
      </c>
      <c r="D1072" s="106" t="s">
        <v>1188</v>
      </c>
      <c r="E1072" s="108">
        <v>1987</v>
      </c>
      <c r="F1072" s="111"/>
    </row>
    <row r="1073" spans="1:6" ht="16.5" x14ac:dyDescent="0.2">
      <c r="A1073" s="106" t="s">
        <v>3018</v>
      </c>
      <c r="B1073" s="107" t="s">
        <v>3019</v>
      </c>
      <c r="C1073" s="108">
        <v>3</v>
      </c>
      <c r="D1073" s="106" t="s">
        <v>1222</v>
      </c>
      <c r="E1073" s="108">
        <v>1999</v>
      </c>
      <c r="F1073" s="111"/>
    </row>
    <row r="1074" spans="1:6" ht="16.5" x14ac:dyDescent="0.2">
      <c r="A1074" s="106" t="s">
        <v>3020</v>
      </c>
      <c r="B1074" s="107" t="s">
        <v>3021</v>
      </c>
      <c r="C1074" s="106" t="s">
        <v>879</v>
      </c>
      <c r="D1074" s="106" t="s">
        <v>1196</v>
      </c>
      <c r="E1074" s="108">
        <v>1987</v>
      </c>
      <c r="F1074" s="111"/>
    </row>
    <row r="1075" spans="1:6" ht="16.5" x14ac:dyDescent="0.2">
      <c r="A1075" s="106" t="s">
        <v>3022</v>
      </c>
      <c r="B1075" s="107" t="s">
        <v>3023</v>
      </c>
      <c r="C1075" s="106" t="s">
        <v>879</v>
      </c>
      <c r="D1075" s="106" t="s">
        <v>1196</v>
      </c>
      <c r="E1075" s="108">
        <v>1987</v>
      </c>
      <c r="F1075" s="111"/>
    </row>
    <row r="1076" spans="1:6" ht="33" x14ac:dyDescent="0.2">
      <c r="A1076" s="106" t="s">
        <v>3024</v>
      </c>
      <c r="B1076" s="107" t="s">
        <v>3025</v>
      </c>
      <c r="C1076" s="106" t="s">
        <v>879</v>
      </c>
      <c r="D1076" s="108">
        <v>113</v>
      </c>
      <c r="E1076" s="108">
        <v>2018</v>
      </c>
      <c r="F1076" s="111"/>
    </row>
    <row r="1077" spans="1:6" ht="16.5" x14ac:dyDescent="0.2">
      <c r="A1077" s="106" t="s">
        <v>3026</v>
      </c>
      <c r="B1077" s="107" t="s">
        <v>3027</v>
      </c>
      <c r="C1077" s="106" t="s">
        <v>879</v>
      </c>
      <c r="D1077" s="106" t="s">
        <v>1390</v>
      </c>
      <c r="E1077" s="108">
        <v>1987</v>
      </c>
      <c r="F1077" s="111"/>
    </row>
    <row r="1078" spans="1:6" ht="16.5" x14ac:dyDescent="0.2">
      <c r="A1078" s="106" t="s">
        <v>3028</v>
      </c>
      <c r="B1078" s="107" t="s">
        <v>3029</v>
      </c>
      <c r="C1078" s="108">
        <v>3</v>
      </c>
      <c r="D1078" s="106" t="s">
        <v>1275</v>
      </c>
      <c r="E1078" s="108">
        <v>1999</v>
      </c>
      <c r="F1078" s="111"/>
    </row>
    <row r="1079" spans="1:6" ht="16.5" x14ac:dyDescent="0.3">
      <c r="A1079" s="106" t="s">
        <v>3030</v>
      </c>
      <c r="B1079" s="107" t="s">
        <v>3031</v>
      </c>
      <c r="C1079" s="108">
        <v>1</v>
      </c>
      <c r="D1079" s="106" t="s">
        <v>3032</v>
      </c>
      <c r="E1079" s="108">
        <v>2012</v>
      </c>
      <c r="F1079" s="109"/>
    </row>
    <row r="1080" spans="1:6" ht="16.5" x14ac:dyDescent="0.3">
      <c r="A1080" s="106" t="s">
        <v>3033</v>
      </c>
      <c r="B1080" s="107" t="s">
        <v>3034</v>
      </c>
      <c r="C1080" s="106" t="s">
        <v>879</v>
      </c>
      <c r="D1080" s="108">
        <v>123</v>
      </c>
      <c r="E1080" s="106" t="s">
        <v>1083</v>
      </c>
      <c r="F1080" s="109"/>
    </row>
    <row r="1081" spans="1:6" ht="16.5" x14ac:dyDescent="0.3">
      <c r="A1081" s="106" t="s">
        <v>3035</v>
      </c>
      <c r="B1081" s="107" t="s">
        <v>3036</v>
      </c>
      <c r="C1081" s="108">
        <v>3</v>
      </c>
      <c r="D1081" s="106" t="s">
        <v>1280</v>
      </c>
      <c r="E1081" s="108">
        <v>1987</v>
      </c>
      <c r="F1081" s="109"/>
    </row>
    <row r="1082" spans="1:6" ht="16.5" x14ac:dyDescent="0.3">
      <c r="A1082" s="106" t="s">
        <v>3037</v>
      </c>
      <c r="B1082" s="107" t="s">
        <v>3038</v>
      </c>
      <c r="C1082" s="106" t="s">
        <v>906</v>
      </c>
      <c r="D1082" s="106" t="s">
        <v>3039</v>
      </c>
      <c r="E1082" s="108">
        <v>2010</v>
      </c>
      <c r="F1082" s="109"/>
    </row>
    <row r="1083" spans="1:6" ht="16.5" x14ac:dyDescent="0.3">
      <c r="A1083" s="106" t="s">
        <v>3040</v>
      </c>
      <c r="B1083" s="107" t="s">
        <v>3041</v>
      </c>
      <c r="C1083" s="108">
        <v>3</v>
      </c>
      <c r="D1083" s="106" t="s">
        <v>1280</v>
      </c>
      <c r="E1083" s="108">
        <v>1987</v>
      </c>
      <c r="F1083" s="109"/>
    </row>
    <row r="1084" spans="1:6" ht="16.5" x14ac:dyDescent="0.3">
      <c r="A1084" s="106" t="s">
        <v>3042</v>
      </c>
      <c r="B1084" s="107" t="s">
        <v>3043</v>
      </c>
      <c r="C1084" s="108">
        <v>3</v>
      </c>
      <c r="D1084" s="106" t="s">
        <v>1280</v>
      </c>
      <c r="E1084" s="108">
        <v>1987</v>
      </c>
      <c r="F1084" s="109"/>
    </row>
    <row r="1085" spans="1:6" ht="16.5" x14ac:dyDescent="0.3">
      <c r="A1085" s="106" t="s">
        <v>3044</v>
      </c>
      <c r="B1085" s="107" t="s">
        <v>3045</v>
      </c>
      <c r="C1085" s="108">
        <v>3</v>
      </c>
      <c r="D1085" s="108">
        <v>77</v>
      </c>
      <c r="E1085" s="108">
        <v>2010</v>
      </c>
      <c r="F1085" s="109"/>
    </row>
    <row r="1086" spans="1:6" ht="16.5" x14ac:dyDescent="0.3">
      <c r="A1086" s="106" t="s">
        <v>3046</v>
      </c>
      <c r="B1086" s="107" t="s">
        <v>3047</v>
      </c>
      <c r="C1086" s="106" t="s">
        <v>879</v>
      </c>
      <c r="D1086" s="106" t="s">
        <v>1280</v>
      </c>
      <c r="E1086" s="108">
        <v>1987</v>
      </c>
      <c r="F1086" s="109"/>
    </row>
    <row r="1087" spans="1:6" ht="16.5" x14ac:dyDescent="0.3">
      <c r="A1087" s="106" t="s">
        <v>3048</v>
      </c>
      <c r="B1087" s="107" t="s">
        <v>3049</v>
      </c>
      <c r="C1087" s="106" t="s">
        <v>879</v>
      </c>
      <c r="D1087" s="106" t="s">
        <v>1227</v>
      </c>
      <c r="E1087" s="108">
        <v>1987</v>
      </c>
      <c r="F1087" s="109"/>
    </row>
    <row r="1088" spans="1:6" ht="16.5" x14ac:dyDescent="0.3">
      <c r="A1088" s="106" t="s">
        <v>3050</v>
      </c>
      <c r="B1088" s="107" t="s">
        <v>3051</v>
      </c>
      <c r="C1088" s="106" t="s">
        <v>879</v>
      </c>
      <c r="D1088" s="108">
        <v>123</v>
      </c>
      <c r="E1088" s="106" t="s">
        <v>1083</v>
      </c>
      <c r="F1088" s="109"/>
    </row>
    <row r="1089" spans="1:6" ht="66" x14ac:dyDescent="0.3">
      <c r="A1089" s="106" t="s">
        <v>3052</v>
      </c>
      <c r="B1089" s="107" t="s">
        <v>3053</v>
      </c>
      <c r="C1089" s="106" t="s">
        <v>906</v>
      </c>
      <c r="D1089" s="106" t="s">
        <v>3054</v>
      </c>
      <c r="E1089" s="108">
        <v>2019</v>
      </c>
      <c r="F1089" s="109" t="s">
        <v>1291</v>
      </c>
    </row>
    <row r="1090" spans="1:6" ht="16.5" x14ac:dyDescent="0.3">
      <c r="A1090" s="106" t="s">
        <v>3055</v>
      </c>
      <c r="B1090" s="107" t="s">
        <v>3056</v>
      </c>
      <c r="C1090" s="106" t="s">
        <v>879</v>
      </c>
      <c r="D1090" s="106" t="s">
        <v>1309</v>
      </c>
      <c r="E1090" s="108">
        <v>1999</v>
      </c>
      <c r="F1090" s="109"/>
    </row>
    <row r="1091" spans="1:6" ht="16.5" x14ac:dyDescent="0.3">
      <c r="A1091" s="106" t="s">
        <v>3057</v>
      </c>
      <c r="B1091" s="107" t="s">
        <v>3058</v>
      </c>
      <c r="C1091" s="106" t="s">
        <v>879</v>
      </c>
      <c r="D1091" s="108">
        <v>77</v>
      </c>
      <c r="E1091" s="108">
        <v>2000</v>
      </c>
      <c r="F1091" s="109"/>
    </row>
    <row r="1092" spans="1:6" ht="16.5" x14ac:dyDescent="0.3">
      <c r="A1092" s="106" t="s">
        <v>3059</v>
      </c>
      <c r="B1092" s="107" t="s">
        <v>3060</v>
      </c>
      <c r="C1092" s="106" t="s">
        <v>906</v>
      </c>
      <c r="D1092" s="108">
        <v>63</v>
      </c>
      <c r="E1092" s="108">
        <v>1995</v>
      </c>
      <c r="F1092" s="109"/>
    </row>
    <row r="1093" spans="1:6" ht="16.5" x14ac:dyDescent="0.3">
      <c r="A1093" s="106" t="s">
        <v>3061</v>
      </c>
      <c r="B1093" s="107" t="s">
        <v>3062</v>
      </c>
      <c r="C1093" s="106" t="s">
        <v>879</v>
      </c>
      <c r="D1093" s="108">
        <v>101</v>
      </c>
      <c r="E1093" s="108">
        <v>2013</v>
      </c>
      <c r="F1093" s="109"/>
    </row>
    <row r="1094" spans="1:6" ht="16.5" x14ac:dyDescent="0.3">
      <c r="A1094" s="106" t="s">
        <v>3063</v>
      </c>
      <c r="B1094" s="107" t="s">
        <v>3064</v>
      </c>
      <c r="C1094" s="106" t="s">
        <v>879</v>
      </c>
      <c r="D1094" s="108">
        <v>101</v>
      </c>
      <c r="E1094" s="108">
        <v>2013</v>
      </c>
      <c r="F1094" s="109"/>
    </row>
    <row r="1095" spans="1:6" ht="16.5" x14ac:dyDescent="0.3">
      <c r="A1095" s="106" t="s">
        <v>3065</v>
      </c>
      <c r="B1095" s="107" t="s">
        <v>3066</v>
      </c>
      <c r="C1095" s="106" t="s">
        <v>879</v>
      </c>
      <c r="D1095" s="106" t="s">
        <v>1645</v>
      </c>
      <c r="E1095" s="108">
        <v>2019</v>
      </c>
      <c r="F1095" s="109"/>
    </row>
    <row r="1096" spans="1:6" ht="66" x14ac:dyDescent="0.3">
      <c r="A1096" s="106" t="s">
        <v>3067</v>
      </c>
      <c r="B1096" s="107" t="s">
        <v>3068</v>
      </c>
      <c r="C1096" s="108">
        <v>3</v>
      </c>
      <c r="D1096" s="106" t="s">
        <v>1416</v>
      </c>
      <c r="E1096" s="108">
        <v>2001</v>
      </c>
      <c r="F1096" s="109" t="s">
        <v>1782</v>
      </c>
    </row>
    <row r="1097" spans="1:6" ht="16.5" x14ac:dyDescent="0.3">
      <c r="A1097" s="106" t="s">
        <v>3069</v>
      </c>
      <c r="B1097" s="107" t="s">
        <v>3070</v>
      </c>
      <c r="C1097" s="108">
        <v>3</v>
      </c>
      <c r="D1097" s="106" t="s">
        <v>1290</v>
      </c>
      <c r="E1097" s="108">
        <v>1999</v>
      </c>
      <c r="F1097" s="109"/>
    </row>
    <row r="1098" spans="1:6" ht="16.5" x14ac:dyDescent="0.3">
      <c r="A1098" s="106" t="s">
        <v>3071</v>
      </c>
      <c r="B1098" s="107" t="s">
        <v>3072</v>
      </c>
      <c r="C1098" s="108">
        <v>3</v>
      </c>
      <c r="D1098" s="106" t="s">
        <v>3073</v>
      </c>
      <c r="E1098" s="108">
        <v>1987</v>
      </c>
      <c r="F1098" s="109"/>
    </row>
    <row r="1099" spans="1:6" ht="16.5" x14ac:dyDescent="0.3">
      <c r="A1099" s="106" t="s">
        <v>3074</v>
      </c>
      <c r="B1099" s="107" t="s">
        <v>3075</v>
      </c>
      <c r="C1099" s="106" t="s">
        <v>879</v>
      </c>
      <c r="D1099" s="106" t="s">
        <v>1239</v>
      </c>
      <c r="E1099" s="108">
        <v>1987</v>
      </c>
      <c r="F1099" s="109"/>
    </row>
    <row r="1100" spans="1:6" ht="16.5" x14ac:dyDescent="0.3">
      <c r="A1100" s="106" t="s">
        <v>3076</v>
      </c>
      <c r="B1100" s="107" t="s">
        <v>3077</v>
      </c>
      <c r="C1100" s="108">
        <v>3</v>
      </c>
      <c r="D1100" s="106" t="s">
        <v>1205</v>
      </c>
      <c r="E1100" s="108">
        <v>1987</v>
      </c>
      <c r="F1100" s="109"/>
    </row>
    <row r="1101" spans="1:6" ht="16.5" x14ac:dyDescent="0.3">
      <c r="A1101" s="106" t="s">
        <v>3078</v>
      </c>
      <c r="B1101" s="107" t="s">
        <v>3079</v>
      </c>
      <c r="C1101" s="106" t="s">
        <v>879</v>
      </c>
      <c r="D1101" s="108">
        <v>133</v>
      </c>
      <c r="E1101" s="106" t="s">
        <v>976</v>
      </c>
      <c r="F1101" s="109"/>
    </row>
    <row r="1102" spans="1:6" ht="16.5" x14ac:dyDescent="0.3">
      <c r="A1102" s="106" t="s">
        <v>3080</v>
      </c>
      <c r="B1102" s="107" t="s">
        <v>3081</v>
      </c>
      <c r="C1102" s="106" t="s">
        <v>879</v>
      </c>
      <c r="D1102" s="108">
        <v>119</v>
      </c>
      <c r="E1102" s="108">
        <v>2019</v>
      </c>
      <c r="F1102" s="109"/>
    </row>
    <row r="1103" spans="1:6" ht="16.5" x14ac:dyDescent="0.3">
      <c r="A1103" s="106" t="s">
        <v>3082</v>
      </c>
      <c r="B1103" s="107" t="s">
        <v>3083</v>
      </c>
      <c r="C1103" s="108">
        <v>3</v>
      </c>
      <c r="D1103" s="108">
        <v>63</v>
      </c>
      <c r="E1103" s="108">
        <v>1995</v>
      </c>
      <c r="F1103" s="109"/>
    </row>
    <row r="1104" spans="1:6" ht="16.5" x14ac:dyDescent="0.3">
      <c r="A1104" s="106" t="s">
        <v>3084</v>
      </c>
      <c r="B1104" s="107" t="s">
        <v>3085</v>
      </c>
      <c r="C1104" s="106" t="s">
        <v>879</v>
      </c>
      <c r="D1104" s="108">
        <v>125</v>
      </c>
      <c r="E1104" s="106" t="s">
        <v>1083</v>
      </c>
      <c r="F1104" s="109"/>
    </row>
    <row r="1105" spans="1:6" ht="16.5" x14ac:dyDescent="0.3">
      <c r="A1105" s="106" t="s">
        <v>3086</v>
      </c>
      <c r="B1105" s="107" t="s">
        <v>3087</v>
      </c>
      <c r="C1105" s="106" t="s">
        <v>879</v>
      </c>
      <c r="D1105" s="108">
        <v>101</v>
      </c>
      <c r="E1105" s="108">
        <v>2013</v>
      </c>
      <c r="F1105" s="109"/>
    </row>
    <row r="1106" spans="1:6" ht="16.5" x14ac:dyDescent="0.3">
      <c r="A1106" s="106" t="s">
        <v>3088</v>
      </c>
      <c r="B1106" s="107" t="s">
        <v>3089</v>
      </c>
      <c r="C1106" s="106" t="s">
        <v>879</v>
      </c>
      <c r="D1106" s="108">
        <v>101</v>
      </c>
      <c r="E1106" s="108">
        <v>2013</v>
      </c>
      <c r="F1106" s="109"/>
    </row>
    <row r="1107" spans="1:6" ht="49.5" x14ac:dyDescent="0.3">
      <c r="A1107" s="106" t="s">
        <v>3090</v>
      </c>
      <c r="B1107" s="107" t="s">
        <v>3091</v>
      </c>
      <c r="C1107" s="106" t="s">
        <v>906</v>
      </c>
      <c r="D1107" s="106" t="s">
        <v>1251</v>
      </c>
      <c r="E1107" s="108">
        <v>1999</v>
      </c>
      <c r="F1107" s="109"/>
    </row>
    <row r="1108" spans="1:6" ht="16.5" x14ac:dyDescent="0.3">
      <c r="A1108" s="106" t="s">
        <v>3092</v>
      </c>
      <c r="B1108" s="107" t="s">
        <v>3093</v>
      </c>
      <c r="C1108" s="106" t="s">
        <v>879</v>
      </c>
      <c r="D1108" s="108">
        <v>65</v>
      </c>
      <c r="E1108" s="108">
        <v>1996</v>
      </c>
      <c r="F1108" s="109"/>
    </row>
    <row r="1109" spans="1:6" ht="16.5" x14ac:dyDescent="0.3">
      <c r="A1109" s="106" t="s">
        <v>3094</v>
      </c>
      <c r="B1109" s="107" t="s">
        <v>3095</v>
      </c>
      <c r="C1109" s="108">
        <v>3</v>
      </c>
      <c r="D1109" s="106" t="s">
        <v>1280</v>
      </c>
      <c r="E1109" s="108">
        <v>1987</v>
      </c>
      <c r="F1109" s="109"/>
    </row>
    <row r="1110" spans="1:6" ht="33" x14ac:dyDescent="0.3">
      <c r="A1110" s="106" t="s">
        <v>3096</v>
      </c>
      <c r="B1110" s="107" t="s">
        <v>3097</v>
      </c>
      <c r="C1110" s="108">
        <v>3</v>
      </c>
      <c r="D1110" s="108">
        <v>65</v>
      </c>
      <c r="E1110" s="108">
        <v>1996</v>
      </c>
      <c r="F1110" s="109"/>
    </row>
    <row r="1111" spans="1:6" ht="16.5" x14ac:dyDescent="0.3">
      <c r="A1111" s="106" t="s">
        <v>3098</v>
      </c>
      <c r="B1111" s="107" t="s">
        <v>3099</v>
      </c>
      <c r="C1111" s="108">
        <v>3</v>
      </c>
      <c r="D1111" s="108">
        <v>48</v>
      </c>
      <c r="E1111" s="108">
        <v>1990</v>
      </c>
      <c r="F1111" s="109"/>
    </row>
    <row r="1112" spans="1:6" ht="16.5" x14ac:dyDescent="0.3">
      <c r="A1112" s="106" t="s">
        <v>3100</v>
      </c>
      <c r="B1112" s="107" t="s">
        <v>3101</v>
      </c>
      <c r="C1112" s="108">
        <v>3</v>
      </c>
      <c r="D1112" s="106" t="s">
        <v>1280</v>
      </c>
      <c r="E1112" s="108">
        <v>1987</v>
      </c>
      <c r="F1112" s="109"/>
    </row>
    <row r="1113" spans="1:6" ht="16.5" x14ac:dyDescent="0.3">
      <c r="A1113" s="106" t="s">
        <v>3102</v>
      </c>
      <c r="B1113" s="107" t="s">
        <v>3103</v>
      </c>
      <c r="C1113" s="108">
        <v>3</v>
      </c>
      <c r="D1113" s="108">
        <v>57</v>
      </c>
      <c r="E1113" s="108">
        <v>1993</v>
      </c>
      <c r="F1113" s="109"/>
    </row>
    <row r="1114" spans="1:6" ht="16.5" x14ac:dyDescent="0.3">
      <c r="A1114" s="106" t="s">
        <v>3104</v>
      </c>
      <c r="B1114" s="107" t="s">
        <v>3105</v>
      </c>
      <c r="C1114" s="108">
        <v>3</v>
      </c>
      <c r="D1114" s="106" t="s">
        <v>1227</v>
      </c>
      <c r="E1114" s="108">
        <v>1987</v>
      </c>
      <c r="F1114" s="109"/>
    </row>
    <row r="1115" spans="1:6" ht="16.5" x14ac:dyDescent="0.3">
      <c r="A1115" s="106" t="s">
        <v>3106</v>
      </c>
      <c r="B1115" s="107" t="s">
        <v>3107</v>
      </c>
      <c r="C1115" s="108">
        <v>3</v>
      </c>
      <c r="D1115" s="106" t="s">
        <v>1432</v>
      </c>
      <c r="E1115" s="108">
        <v>1987</v>
      </c>
      <c r="F1115" s="109"/>
    </row>
    <row r="1116" spans="1:6" ht="16.5" x14ac:dyDescent="0.3">
      <c r="A1116" s="106" t="s">
        <v>3108</v>
      </c>
      <c r="B1116" s="107" t="s">
        <v>3109</v>
      </c>
      <c r="C1116" s="106" t="s">
        <v>879</v>
      </c>
      <c r="D1116" s="108">
        <v>115</v>
      </c>
      <c r="E1116" s="108">
        <v>2018</v>
      </c>
      <c r="F1116" s="109"/>
    </row>
  </sheetData>
  <mergeCells count="4">
    <mergeCell ref="A7:F7"/>
    <mergeCell ref="A5:F6"/>
    <mergeCell ref="A1:A3"/>
    <mergeCell ref="B1:D3"/>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0">
    <picture r:id="rId2"/>
  </sheetPr>
  <dimension ref="A4:AE491"/>
  <sheetViews>
    <sheetView topLeftCell="A220" zoomScale="50" zoomScaleNormal="50" workbookViewId="0">
      <selection activeCell="B236" sqref="B236"/>
    </sheetView>
  </sheetViews>
  <sheetFormatPr baseColWidth="10" defaultRowHeight="12.75" x14ac:dyDescent="0.2"/>
  <cols>
    <col min="1" max="1" width="21.42578125" customWidth="1"/>
    <col min="2" max="2" width="23.42578125" customWidth="1"/>
    <col min="3" max="3" width="23.5703125" bestFit="1" customWidth="1"/>
  </cols>
  <sheetData>
    <row r="4" spans="1:31" s="8" customFormat="1" ht="15" x14ac:dyDescent="0.2">
      <c r="A4" s="14" t="s">
        <v>266</v>
      </c>
      <c r="B4" s="68"/>
      <c r="C4" s="76"/>
      <c r="D4" s="22"/>
      <c r="E4" s="22"/>
      <c r="F4" s="30"/>
      <c r="G4" s="22"/>
      <c r="H4" s="21"/>
      <c r="I4" s="21"/>
      <c r="J4" s="23"/>
      <c r="K4" s="22"/>
      <c r="L4" s="22"/>
      <c r="M4" s="22"/>
      <c r="N4" s="22"/>
      <c r="O4" s="22"/>
      <c r="P4" s="22"/>
      <c r="Q4" s="27"/>
      <c r="R4" s="27"/>
      <c r="S4" s="27"/>
      <c r="T4" s="22"/>
      <c r="U4" s="22"/>
      <c r="V4" s="22"/>
      <c r="W4" s="42"/>
      <c r="X4" s="36"/>
      <c r="Y4" s="37"/>
      <c r="Z4" s="37"/>
      <c r="AA4" s="37"/>
      <c r="AB4" s="37"/>
      <c r="AC4" s="37"/>
      <c r="AD4" s="38"/>
      <c r="AE4" s="19"/>
    </row>
    <row r="5" spans="1:31" s="8" customFormat="1" ht="63.75" x14ac:dyDescent="0.2">
      <c r="A5" s="14" t="s">
        <v>272</v>
      </c>
      <c r="B5" s="53" t="s">
        <v>497</v>
      </c>
      <c r="C5" s="76" t="s">
        <v>641</v>
      </c>
      <c r="D5" s="22"/>
      <c r="E5" s="22"/>
      <c r="F5" s="30"/>
      <c r="G5" s="22"/>
      <c r="H5" s="21"/>
      <c r="I5" s="21"/>
      <c r="J5" s="23"/>
      <c r="K5" s="22"/>
      <c r="L5" s="22"/>
      <c r="M5" s="22"/>
      <c r="N5" s="22"/>
      <c r="O5" s="22"/>
      <c r="P5" s="22"/>
      <c r="Q5" s="26"/>
      <c r="R5" s="27"/>
      <c r="S5" s="27"/>
      <c r="T5" s="22"/>
      <c r="U5" s="22"/>
      <c r="V5" s="22"/>
      <c r="W5" s="42"/>
      <c r="X5" s="36"/>
      <c r="Y5" s="34"/>
      <c r="Z5" s="37"/>
      <c r="AA5" s="37"/>
      <c r="AB5" s="34"/>
      <c r="AC5" s="34"/>
      <c r="AD5" s="38"/>
      <c r="AE5" s="19"/>
    </row>
    <row r="6" spans="1:31" s="8" customFormat="1" ht="89.25" x14ac:dyDescent="0.2">
      <c r="A6" s="14" t="s">
        <v>263</v>
      </c>
      <c r="B6" s="53" t="s">
        <v>491</v>
      </c>
      <c r="C6" s="76" t="s">
        <v>668</v>
      </c>
      <c r="D6" s="22"/>
      <c r="E6" s="22"/>
      <c r="F6" s="30"/>
      <c r="G6" s="22"/>
      <c r="H6" s="21"/>
      <c r="I6" s="21"/>
      <c r="J6" s="23"/>
      <c r="K6" s="22"/>
      <c r="L6" s="22"/>
      <c r="M6" s="22"/>
      <c r="N6" s="22"/>
      <c r="O6" s="22"/>
      <c r="P6" s="22"/>
      <c r="Q6" s="23"/>
      <c r="R6" s="27"/>
      <c r="S6" s="27"/>
      <c r="T6" s="22"/>
      <c r="U6" s="22"/>
      <c r="V6" s="22"/>
      <c r="W6" s="42"/>
      <c r="X6" s="36"/>
      <c r="Y6" s="37"/>
      <c r="Z6" s="37"/>
      <c r="AA6" s="37"/>
      <c r="AB6" s="34"/>
      <c r="AC6" s="37"/>
      <c r="AD6" s="38"/>
      <c r="AE6" s="19"/>
    </row>
    <row r="7" spans="1:31" s="8" customFormat="1" ht="51" x14ac:dyDescent="0.2">
      <c r="A7" s="14" t="s">
        <v>265</v>
      </c>
      <c r="B7" s="53" t="s">
        <v>493</v>
      </c>
      <c r="C7" s="76" t="s">
        <v>641</v>
      </c>
      <c r="D7" s="22"/>
      <c r="E7" s="22"/>
      <c r="F7" s="30"/>
      <c r="G7" s="22"/>
      <c r="H7" s="21"/>
      <c r="I7" s="21"/>
      <c r="J7" s="25"/>
      <c r="K7" s="23"/>
      <c r="L7" s="22"/>
      <c r="M7" s="22"/>
      <c r="N7" s="22"/>
      <c r="O7" s="22"/>
      <c r="P7" s="22"/>
      <c r="Q7" s="28"/>
      <c r="R7" s="45"/>
      <c r="S7" s="45"/>
      <c r="T7" s="22"/>
      <c r="U7" s="22"/>
      <c r="V7" s="22"/>
      <c r="W7" s="42"/>
      <c r="X7" s="36"/>
      <c r="Y7" s="37"/>
      <c r="Z7" s="37"/>
      <c r="AA7" s="37"/>
      <c r="AB7" s="37"/>
      <c r="AC7" s="37"/>
      <c r="AD7" s="38"/>
      <c r="AE7" s="19"/>
    </row>
    <row r="8" spans="1:31" s="8" customFormat="1" ht="33" customHeight="1" x14ac:dyDescent="0.2">
      <c r="A8" s="14" t="s">
        <v>270</v>
      </c>
      <c r="B8" s="53" t="s">
        <v>497</v>
      </c>
      <c r="C8" s="76" t="s">
        <v>641</v>
      </c>
      <c r="D8" s="22"/>
      <c r="E8" s="22"/>
      <c r="F8" s="30"/>
      <c r="G8" s="22"/>
      <c r="H8" s="21"/>
      <c r="I8" s="21"/>
      <c r="J8" s="23"/>
      <c r="K8" s="22"/>
      <c r="L8" s="22"/>
      <c r="M8" s="22"/>
      <c r="N8" s="22"/>
      <c r="O8" s="22"/>
      <c r="P8" s="22"/>
      <c r="Q8" s="23"/>
      <c r="R8" s="27"/>
      <c r="S8" s="27"/>
      <c r="T8" s="22"/>
      <c r="U8" s="22"/>
      <c r="V8" s="22"/>
      <c r="W8" s="42"/>
      <c r="X8" s="37"/>
      <c r="Y8" s="39"/>
      <c r="Z8" s="37"/>
      <c r="AA8" s="37"/>
      <c r="AB8" s="37"/>
      <c r="AC8" s="37"/>
      <c r="AD8" s="38"/>
      <c r="AE8" s="19"/>
    </row>
    <row r="9" spans="1:31" s="8" customFormat="1" ht="180" customHeight="1" x14ac:dyDescent="0.2">
      <c r="A9" s="14" t="s">
        <v>268</v>
      </c>
      <c r="B9" s="53" t="s">
        <v>495</v>
      </c>
      <c r="C9" s="76" t="s">
        <v>671</v>
      </c>
      <c r="D9" s="22"/>
      <c r="E9" s="22"/>
      <c r="F9" s="30"/>
      <c r="G9" s="22"/>
      <c r="H9" s="21"/>
      <c r="I9" s="21"/>
      <c r="J9" s="23"/>
      <c r="K9" s="22"/>
      <c r="L9" s="22"/>
      <c r="M9" s="22"/>
      <c r="N9" s="22"/>
      <c r="O9" s="22"/>
      <c r="P9" s="22"/>
      <c r="Q9" s="23"/>
      <c r="R9" s="27"/>
      <c r="S9" s="27"/>
      <c r="T9" s="22"/>
      <c r="U9" s="22"/>
      <c r="V9" s="22"/>
      <c r="W9" s="42"/>
      <c r="X9" s="33"/>
      <c r="Y9" s="33"/>
      <c r="Z9" s="33"/>
      <c r="AA9" s="33"/>
      <c r="AB9" s="33"/>
      <c r="AC9" s="33"/>
      <c r="AD9" s="38"/>
      <c r="AE9" s="19"/>
    </row>
    <row r="10" spans="1:31" s="8" customFormat="1" ht="242.25" x14ac:dyDescent="0.2">
      <c r="A10" s="14" t="s">
        <v>271</v>
      </c>
      <c r="B10" s="53" t="s">
        <v>498</v>
      </c>
      <c r="C10" s="76" t="s">
        <v>673</v>
      </c>
      <c r="D10" s="22"/>
      <c r="E10" s="22"/>
      <c r="F10" s="30"/>
      <c r="G10" s="22"/>
      <c r="H10" s="21"/>
      <c r="I10" s="21"/>
      <c r="J10" s="25"/>
      <c r="K10" s="23"/>
      <c r="L10" s="22"/>
      <c r="M10" s="22"/>
      <c r="N10" s="22"/>
      <c r="O10" s="22"/>
      <c r="P10" s="22"/>
      <c r="Q10" s="23"/>
      <c r="R10" s="27"/>
      <c r="S10" s="46"/>
      <c r="T10" s="22"/>
      <c r="U10" s="22"/>
      <c r="V10" s="22"/>
      <c r="W10" s="42"/>
      <c r="X10" s="32"/>
      <c r="Y10" s="33"/>
      <c r="Z10" s="32"/>
      <c r="AA10" s="32"/>
      <c r="AB10" s="32"/>
      <c r="AC10" s="33"/>
      <c r="AD10" s="19"/>
      <c r="AE10" s="19"/>
    </row>
    <row r="11" spans="1:31" s="8" customFormat="1" ht="114.75" x14ac:dyDescent="0.2">
      <c r="A11" s="14" t="s">
        <v>294</v>
      </c>
      <c r="B11" s="72" t="s">
        <v>518</v>
      </c>
      <c r="C11" s="76" t="s">
        <v>692</v>
      </c>
      <c r="D11" s="22"/>
      <c r="E11" s="22"/>
      <c r="F11" s="30"/>
      <c r="G11" s="22"/>
      <c r="H11" s="21"/>
      <c r="I11" s="21"/>
      <c r="J11" s="23"/>
      <c r="K11" s="22"/>
      <c r="L11" s="22"/>
      <c r="M11" s="22"/>
      <c r="N11" s="22"/>
      <c r="O11" s="22"/>
      <c r="P11" s="22"/>
      <c r="Q11" s="23"/>
      <c r="R11" s="27"/>
      <c r="S11" s="27"/>
      <c r="T11" s="22"/>
      <c r="U11" s="22"/>
      <c r="V11" s="22"/>
      <c r="W11" s="42"/>
      <c r="X11" s="33"/>
      <c r="Y11" s="33"/>
      <c r="Z11" s="33"/>
      <c r="AA11" s="33"/>
      <c r="AB11" s="33"/>
      <c r="AC11" s="33"/>
      <c r="AD11" s="38"/>
      <c r="AE11" s="19"/>
    </row>
    <row r="12" spans="1:31" s="8" customFormat="1" ht="76.5" x14ac:dyDescent="0.2">
      <c r="A12" s="14" t="s">
        <v>244</v>
      </c>
      <c r="B12" s="53" t="s">
        <v>474</v>
      </c>
      <c r="C12" s="76"/>
      <c r="D12" s="22"/>
      <c r="E12" s="22"/>
      <c r="F12" s="30"/>
      <c r="G12" s="22"/>
      <c r="H12" s="21"/>
      <c r="I12" s="21"/>
      <c r="J12" s="23"/>
      <c r="K12" s="22"/>
      <c r="L12" s="22"/>
      <c r="M12" s="22"/>
      <c r="N12" s="22"/>
      <c r="O12" s="22"/>
      <c r="P12" s="22"/>
      <c r="Q12" s="27"/>
      <c r="R12" s="27"/>
      <c r="S12" s="27"/>
      <c r="T12" s="22"/>
      <c r="U12" s="22"/>
      <c r="V12" s="22"/>
      <c r="W12" s="42"/>
      <c r="X12" s="33"/>
      <c r="Y12" s="33"/>
      <c r="Z12" s="33"/>
      <c r="AA12" s="33"/>
      <c r="AB12" s="33"/>
      <c r="AC12" s="33"/>
      <c r="AD12" s="38"/>
      <c r="AE12" s="19"/>
    </row>
    <row r="13" spans="1:31" s="8" customFormat="1" ht="25.5" x14ac:dyDescent="0.2">
      <c r="A13" s="14" t="s">
        <v>304</v>
      </c>
      <c r="B13" s="53" t="s">
        <v>525</v>
      </c>
      <c r="C13" s="76" t="s">
        <v>699</v>
      </c>
      <c r="D13" s="22"/>
      <c r="E13" s="22"/>
      <c r="F13" s="30"/>
      <c r="G13" s="22"/>
      <c r="H13" s="21"/>
      <c r="I13" s="21"/>
      <c r="J13" s="23"/>
      <c r="K13" s="22"/>
      <c r="L13" s="22"/>
      <c r="M13" s="22"/>
      <c r="N13" s="22"/>
      <c r="O13" s="22"/>
      <c r="P13" s="22"/>
      <c r="Q13" s="23"/>
      <c r="R13" s="27"/>
      <c r="S13" s="27"/>
      <c r="T13" s="22"/>
      <c r="U13" s="22"/>
      <c r="V13" s="22"/>
      <c r="W13" s="42"/>
      <c r="X13" s="33"/>
      <c r="Y13" s="33"/>
      <c r="Z13" s="33"/>
      <c r="AA13" s="33"/>
      <c r="AB13" s="33"/>
      <c r="AC13" s="33"/>
      <c r="AD13" s="38"/>
      <c r="AE13" s="19"/>
    </row>
    <row r="14" spans="1:31" s="8" customFormat="1" ht="102" x14ac:dyDescent="0.2">
      <c r="A14" s="14" t="s">
        <v>275</v>
      </c>
      <c r="B14" s="53" t="s">
        <v>501</v>
      </c>
      <c r="C14" s="76" t="s">
        <v>676</v>
      </c>
      <c r="D14" s="22"/>
      <c r="E14" s="22"/>
      <c r="F14" s="30"/>
      <c r="G14" s="22"/>
      <c r="H14" s="21"/>
      <c r="I14" s="21"/>
      <c r="J14" s="23"/>
      <c r="K14" s="22"/>
      <c r="L14" s="22"/>
      <c r="M14" s="22"/>
      <c r="N14" s="22"/>
      <c r="O14" s="22"/>
      <c r="P14" s="22"/>
      <c r="Q14" s="23"/>
      <c r="R14" s="27"/>
      <c r="S14" s="27"/>
      <c r="T14" s="22"/>
      <c r="U14" s="22"/>
      <c r="V14" s="22"/>
      <c r="W14" s="42"/>
      <c r="X14" s="33"/>
      <c r="Y14" s="33"/>
      <c r="Z14" s="33"/>
      <c r="AA14" s="33"/>
      <c r="AB14" s="33"/>
      <c r="AC14" s="33"/>
      <c r="AD14" s="38"/>
      <c r="AE14" s="19"/>
    </row>
    <row r="15" spans="1:31" s="8" customFormat="1" ht="76.5" x14ac:dyDescent="0.2">
      <c r="A15" s="14" t="s">
        <v>274</v>
      </c>
      <c r="B15" s="53" t="s">
        <v>500</v>
      </c>
      <c r="C15" s="76" t="s">
        <v>675</v>
      </c>
      <c r="D15" s="22"/>
      <c r="E15" s="22"/>
      <c r="F15" s="30"/>
      <c r="G15" s="22"/>
      <c r="H15" s="21"/>
      <c r="I15" s="21"/>
      <c r="J15" s="25"/>
      <c r="K15" s="23"/>
      <c r="L15" s="22"/>
      <c r="M15" s="22"/>
      <c r="N15" s="22"/>
      <c r="O15" s="35"/>
      <c r="P15" s="22"/>
      <c r="Q15" s="23"/>
      <c r="R15" s="27"/>
      <c r="S15" s="27"/>
      <c r="T15" s="22"/>
      <c r="U15" s="22"/>
      <c r="V15" s="22"/>
      <c r="W15" s="42"/>
      <c r="X15" s="32"/>
      <c r="Y15" s="33"/>
      <c r="Z15" s="32"/>
      <c r="AA15" s="32"/>
      <c r="AB15" s="32"/>
      <c r="AC15" s="33"/>
      <c r="AD15" s="38"/>
      <c r="AE15" s="19"/>
    </row>
    <row r="16" spans="1:31" s="8" customFormat="1" ht="63.75" x14ac:dyDescent="0.2">
      <c r="A16" s="14" t="s">
        <v>295</v>
      </c>
      <c r="B16" s="53" t="s">
        <v>519</v>
      </c>
      <c r="C16" s="76" t="s">
        <v>693</v>
      </c>
      <c r="D16" s="22"/>
      <c r="E16" s="22"/>
      <c r="F16" s="30"/>
      <c r="G16" s="22"/>
      <c r="H16" s="21"/>
      <c r="I16" s="21"/>
      <c r="J16" s="25"/>
      <c r="K16" s="23"/>
      <c r="L16" s="22"/>
      <c r="M16" s="22"/>
      <c r="N16" s="22"/>
      <c r="O16" s="22"/>
      <c r="P16" s="22"/>
      <c r="Q16" s="23"/>
      <c r="R16" s="27"/>
      <c r="S16" s="27"/>
      <c r="T16" s="22"/>
      <c r="U16" s="22"/>
      <c r="V16" s="22"/>
      <c r="W16" s="42"/>
      <c r="X16" s="33"/>
      <c r="Y16" s="33"/>
      <c r="Z16" s="33"/>
      <c r="AA16" s="33"/>
      <c r="AB16" s="33"/>
      <c r="AC16" s="33"/>
      <c r="AD16" s="38"/>
      <c r="AE16" s="19"/>
    </row>
    <row r="17" spans="1:31" s="8" customFormat="1" ht="15" x14ac:dyDescent="0.2">
      <c r="A17" s="23" t="s">
        <v>91</v>
      </c>
      <c r="B17" s="51" t="s">
        <v>368</v>
      </c>
      <c r="C17" s="63" t="s">
        <v>566</v>
      </c>
      <c r="D17" s="22"/>
      <c r="E17" s="22"/>
      <c r="F17" s="30"/>
      <c r="G17" s="22"/>
      <c r="H17" s="21"/>
      <c r="I17" s="21"/>
      <c r="J17" s="25"/>
      <c r="K17" s="23"/>
      <c r="L17" s="22"/>
      <c r="M17" s="22"/>
      <c r="N17" s="22"/>
      <c r="O17" s="22"/>
      <c r="P17" s="22"/>
      <c r="Q17" s="23"/>
      <c r="R17" s="27"/>
      <c r="S17" s="27"/>
      <c r="T17" s="22"/>
      <c r="U17" s="22"/>
      <c r="V17" s="22"/>
      <c r="W17" s="42"/>
      <c r="X17" s="33"/>
      <c r="Y17" s="33"/>
      <c r="Z17" s="33"/>
      <c r="AA17" s="33"/>
      <c r="AB17" s="33"/>
      <c r="AC17" s="33"/>
      <c r="AD17" s="38"/>
      <c r="AE17" s="19"/>
    </row>
    <row r="18" spans="1:31" s="8" customFormat="1" ht="25.5" x14ac:dyDescent="0.2">
      <c r="A18" s="14" t="s">
        <v>305</v>
      </c>
      <c r="B18" s="68" t="s">
        <v>353</v>
      </c>
      <c r="C18" s="76" t="s">
        <v>700</v>
      </c>
      <c r="D18" s="22"/>
      <c r="E18" s="22"/>
      <c r="F18" s="30"/>
      <c r="G18" s="22"/>
      <c r="H18" s="21"/>
      <c r="I18" s="21"/>
      <c r="J18" s="23"/>
      <c r="K18" s="22"/>
      <c r="L18" s="22"/>
      <c r="M18" s="22"/>
      <c r="N18" s="22"/>
      <c r="O18" s="22"/>
      <c r="P18" s="22"/>
      <c r="Q18" s="23"/>
      <c r="R18" s="27"/>
      <c r="S18" s="27"/>
      <c r="T18" s="22"/>
      <c r="U18" s="22"/>
      <c r="V18" s="22"/>
      <c r="W18" s="42"/>
      <c r="X18" s="33"/>
      <c r="Y18" s="33"/>
      <c r="Z18" s="33"/>
      <c r="AA18" s="33"/>
      <c r="AB18" s="33"/>
      <c r="AC18" s="33"/>
      <c r="AD18" s="19"/>
      <c r="AE18" s="19"/>
    </row>
    <row r="19" spans="1:31" s="8" customFormat="1" ht="15.75" x14ac:dyDescent="0.2">
      <c r="A19" s="14" t="s">
        <v>306</v>
      </c>
      <c r="B19" s="51" t="s">
        <v>526</v>
      </c>
      <c r="C19" s="76" t="s">
        <v>701</v>
      </c>
      <c r="D19" s="22"/>
      <c r="E19" s="22"/>
      <c r="F19" s="30"/>
      <c r="G19" s="22"/>
      <c r="H19" s="21"/>
      <c r="I19" s="21"/>
      <c r="J19" s="23"/>
      <c r="K19" s="22"/>
      <c r="L19" s="22"/>
      <c r="M19" s="22"/>
      <c r="N19" s="22"/>
      <c r="O19" s="22"/>
      <c r="P19" s="22"/>
      <c r="Q19" s="23"/>
      <c r="R19" s="27"/>
      <c r="S19" s="27"/>
      <c r="T19" s="22"/>
      <c r="U19" s="22"/>
      <c r="V19" s="22"/>
      <c r="W19" s="42"/>
      <c r="X19" s="47"/>
      <c r="Y19" s="47"/>
      <c r="Z19" s="47"/>
      <c r="AA19" s="47"/>
      <c r="AB19" s="47"/>
      <c r="AC19" s="47"/>
      <c r="AD19" s="38"/>
      <c r="AE19" s="19"/>
    </row>
    <row r="20" spans="1:31" s="8" customFormat="1" ht="409.5" x14ac:dyDescent="0.2">
      <c r="A20" s="14" t="s">
        <v>236</v>
      </c>
      <c r="B20" s="72" t="s">
        <v>466</v>
      </c>
      <c r="C20" s="76" t="s">
        <v>647</v>
      </c>
      <c r="D20" s="22"/>
      <c r="E20" s="22"/>
      <c r="F20" s="24"/>
      <c r="G20" s="22"/>
      <c r="H20" s="21"/>
      <c r="I20" s="21"/>
      <c r="J20" s="25"/>
      <c r="K20" s="23"/>
      <c r="L20" s="22"/>
      <c r="M20" s="22"/>
      <c r="N20" s="22"/>
      <c r="O20" s="22"/>
      <c r="P20" s="22"/>
      <c r="Q20" s="23"/>
      <c r="R20" s="27"/>
      <c r="S20" s="27" t="s">
        <v>78</v>
      </c>
      <c r="T20" s="22" t="s">
        <v>76</v>
      </c>
      <c r="U20" s="22" t="s">
        <v>76</v>
      </c>
      <c r="V20" s="22" t="s">
        <v>76</v>
      </c>
      <c r="W20" s="42" t="s">
        <v>76</v>
      </c>
      <c r="X20" s="33" t="s">
        <v>81</v>
      </c>
      <c r="Y20" s="33" t="s">
        <v>87</v>
      </c>
      <c r="Z20" s="33"/>
      <c r="AA20" s="33"/>
      <c r="AB20" s="33"/>
      <c r="AC20" s="33"/>
      <c r="AD20" s="38"/>
      <c r="AE20" s="19"/>
    </row>
    <row r="21" spans="1:31" s="8" customFormat="1" ht="63.75" x14ac:dyDescent="0.2">
      <c r="A21" s="22" t="s">
        <v>215</v>
      </c>
      <c r="B21" s="72" t="s">
        <v>455</v>
      </c>
      <c r="C21" s="76" t="s">
        <v>637</v>
      </c>
      <c r="D21" s="22"/>
      <c r="E21" s="22"/>
      <c r="F21" s="30"/>
      <c r="G21" s="22"/>
      <c r="H21" s="21"/>
      <c r="I21" s="21"/>
      <c r="J21" s="23"/>
      <c r="K21" s="22"/>
      <c r="L21" s="22"/>
      <c r="M21" s="22"/>
      <c r="N21" s="22"/>
      <c r="O21" s="22"/>
      <c r="P21" s="22"/>
      <c r="Q21" s="23"/>
      <c r="R21" s="27"/>
      <c r="S21" s="27"/>
      <c r="T21" s="22"/>
      <c r="U21" s="22"/>
      <c r="V21" s="22"/>
      <c r="W21" s="42"/>
      <c r="X21" s="33"/>
      <c r="Y21" s="33"/>
      <c r="Z21" s="33"/>
      <c r="AA21" s="33"/>
      <c r="AB21" s="33"/>
      <c r="AC21" s="33"/>
      <c r="AD21" s="19"/>
      <c r="AE21" s="19"/>
    </row>
    <row r="22" spans="1:31" s="8" customFormat="1" ht="409.5" x14ac:dyDescent="0.2">
      <c r="A22" s="14" t="s">
        <v>267</v>
      </c>
      <c r="B22" s="53" t="s">
        <v>494</v>
      </c>
      <c r="C22" s="76" t="s">
        <v>670</v>
      </c>
      <c r="D22" s="22"/>
      <c r="E22" s="22"/>
      <c r="F22" s="30"/>
      <c r="G22" s="22"/>
      <c r="H22" s="21"/>
      <c r="I22" s="21"/>
      <c r="J22" s="23"/>
      <c r="K22" s="22"/>
      <c r="L22" s="22"/>
      <c r="M22" s="22"/>
      <c r="N22" s="22"/>
      <c r="O22" s="22"/>
      <c r="P22" s="22"/>
      <c r="Q22" s="23"/>
      <c r="R22" s="27"/>
      <c r="S22" s="27" t="s">
        <v>89</v>
      </c>
      <c r="T22" s="22" t="s">
        <v>76</v>
      </c>
      <c r="U22" s="22" t="s">
        <v>76</v>
      </c>
      <c r="V22" s="22" t="s">
        <v>76</v>
      </c>
      <c r="W22" s="42" t="s">
        <v>76</v>
      </c>
      <c r="X22" s="33" t="s">
        <v>82</v>
      </c>
      <c r="Y22" s="33" t="s">
        <v>83</v>
      </c>
      <c r="Z22" s="33"/>
      <c r="AA22" s="33"/>
      <c r="AB22" s="33"/>
      <c r="AC22" s="33"/>
      <c r="AD22" s="19"/>
      <c r="AE22" s="19"/>
    </row>
    <row r="23" spans="1:31" s="8" customFormat="1" ht="409.5" x14ac:dyDescent="0.2">
      <c r="A23" s="23" t="s">
        <v>111</v>
      </c>
      <c r="B23" s="52" t="s">
        <v>388</v>
      </c>
      <c r="C23" s="63" t="s">
        <v>576</v>
      </c>
      <c r="D23" s="22"/>
      <c r="E23" s="22"/>
      <c r="F23" s="30"/>
      <c r="G23" s="22"/>
      <c r="H23" s="21"/>
      <c r="I23" s="21"/>
      <c r="J23" s="25"/>
      <c r="K23" s="23"/>
      <c r="L23" s="22"/>
      <c r="M23" s="22"/>
      <c r="N23" s="22"/>
      <c r="O23" s="22"/>
      <c r="P23" s="22"/>
      <c r="Q23" s="23"/>
      <c r="R23" s="27"/>
      <c r="S23" s="27" t="s">
        <v>86</v>
      </c>
      <c r="T23" s="22" t="s">
        <v>76</v>
      </c>
      <c r="U23" s="22" t="s">
        <v>76</v>
      </c>
      <c r="V23" s="22" t="s">
        <v>76</v>
      </c>
      <c r="W23" s="42"/>
      <c r="X23" s="33" t="s">
        <v>84</v>
      </c>
      <c r="Y23" s="33" t="s">
        <v>85</v>
      </c>
      <c r="Z23" s="33"/>
      <c r="AA23" s="33"/>
      <c r="AB23" s="33"/>
      <c r="AC23" s="33"/>
      <c r="AD23" s="38"/>
      <c r="AE23" s="19"/>
    </row>
    <row r="24" spans="1:31" s="8" customFormat="1" ht="153" x14ac:dyDescent="0.2">
      <c r="A24" s="14" t="s">
        <v>246</v>
      </c>
      <c r="B24" s="53" t="s">
        <v>475</v>
      </c>
      <c r="C24" s="76" t="s">
        <v>654</v>
      </c>
      <c r="D24" s="22"/>
      <c r="E24" s="22"/>
      <c r="F24" s="30"/>
      <c r="G24" s="22"/>
      <c r="H24" s="22"/>
      <c r="I24" s="21"/>
      <c r="J24" s="25"/>
      <c r="K24" s="23"/>
      <c r="L24" s="22"/>
      <c r="M24" s="22"/>
      <c r="N24" s="22"/>
      <c r="O24" s="22"/>
      <c r="P24" s="22"/>
      <c r="Q24" s="23"/>
      <c r="R24" s="27"/>
      <c r="S24" s="27"/>
      <c r="T24" s="22"/>
      <c r="U24" s="22"/>
      <c r="V24" s="22"/>
      <c r="W24" s="42"/>
      <c r="X24" s="33"/>
      <c r="Y24" s="33"/>
      <c r="Z24" s="33"/>
      <c r="AA24" s="33"/>
      <c r="AB24" s="33"/>
      <c r="AC24" s="33"/>
      <c r="AD24" s="38"/>
      <c r="AE24" s="19"/>
    </row>
    <row r="25" spans="1:31" s="8" customFormat="1" ht="240" customHeight="1" x14ac:dyDescent="0.2">
      <c r="A25" s="14" t="s">
        <v>248</v>
      </c>
      <c r="B25" s="53" t="s">
        <v>477</v>
      </c>
      <c r="C25" s="76"/>
      <c r="D25" s="22"/>
      <c r="E25" s="22"/>
      <c r="F25" s="30"/>
      <c r="G25" s="22"/>
      <c r="H25" s="21"/>
      <c r="I25" s="21"/>
      <c r="J25" s="23"/>
      <c r="K25" s="22"/>
      <c r="L25" s="22"/>
      <c r="M25" s="22"/>
      <c r="N25" s="22"/>
      <c r="O25" s="22"/>
      <c r="P25" s="22"/>
      <c r="Q25" s="23"/>
      <c r="R25" s="27"/>
      <c r="S25" s="27"/>
      <c r="T25" s="22"/>
      <c r="U25" s="22"/>
      <c r="V25" s="22"/>
      <c r="W25" s="42"/>
      <c r="X25" s="33"/>
      <c r="Y25" s="33"/>
      <c r="Z25" s="33"/>
      <c r="AA25" s="33"/>
      <c r="AB25" s="33"/>
      <c r="AC25" s="33"/>
      <c r="AD25" s="40"/>
      <c r="AE25" s="19"/>
    </row>
    <row r="26" spans="1:31" s="8" customFormat="1" ht="15" x14ac:dyDescent="0.2">
      <c r="A26" s="14" t="s">
        <v>250</v>
      </c>
      <c r="B26" s="68" t="s">
        <v>479</v>
      </c>
      <c r="C26" s="76" t="s">
        <v>657</v>
      </c>
      <c r="D26" s="22"/>
      <c r="E26" s="22"/>
      <c r="F26" s="30"/>
      <c r="G26" s="22"/>
      <c r="H26" s="21"/>
      <c r="I26" s="21"/>
      <c r="J26" s="23"/>
      <c r="K26" s="22"/>
      <c r="L26" s="22"/>
      <c r="M26" s="22"/>
      <c r="N26" s="22"/>
      <c r="O26" s="22"/>
      <c r="P26" s="22"/>
      <c r="Q26" s="23"/>
      <c r="R26" s="27"/>
      <c r="S26" s="27"/>
      <c r="T26" s="22"/>
      <c r="U26" s="22"/>
      <c r="V26" s="22"/>
      <c r="W26" s="42"/>
      <c r="X26" s="33"/>
      <c r="Y26" s="33"/>
      <c r="Z26" s="33"/>
      <c r="AA26" s="33"/>
      <c r="AB26" s="33"/>
      <c r="AC26" s="33"/>
      <c r="AD26" s="38"/>
      <c r="AE26" s="19"/>
    </row>
    <row r="27" spans="1:31" s="8" customFormat="1" ht="51" x14ac:dyDescent="0.2">
      <c r="A27" s="14" t="s">
        <v>247</v>
      </c>
      <c r="B27" s="53" t="s">
        <v>476</v>
      </c>
      <c r="C27" s="76" t="s">
        <v>655</v>
      </c>
      <c r="D27" s="22"/>
      <c r="E27" s="22"/>
      <c r="F27" s="30"/>
      <c r="G27" s="22"/>
      <c r="H27" s="21"/>
      <c r="I27" s="21"/>
      <c r="J27" s="25"/>
      <c r="K27" s="23"/>
      <c r="L27" s="22"/>
      <c r="M27" s="22"/>
      <c r="N27" s="22"/>
      <c r="O27" s="22"/>
      <c r="P27" s="22"/>
      <c r="Q27" s="23"/>
      <c r="R27" s="27"/>
      <c r="S27" s="27"/>
      <c r="T27" s="22"/>
      <c r="U27" s="22"/>
      <c r="V27" s="22"/>
      <c r="W27" s="42"/>
      <c r="X27" s="33"/>
      <c r="Y27" s="33"/>
      <c r="Z27" s="33"/>
      <c r="AA27" s="33"/>
      <c r="AB27" s="33"/>
      <c r="AC27" s="33"/>
      <c r="AD27" s="38"/>
      <c r="AE27" s="19"/>
    </row>
    <row r="28" spans="1:31" s="8" customFormat="1" ht="89.25" x14ac:dyDescent="0.2">
      <c r="A28" s="14" t="s">
        <v>252</v>
      </c>
      <c r="B28" s="53" t="s">
        <v>481</v>
      </c>
      <c r="C28" s="76" t="s">
        <v>659</v>
      </c>
      <c r="D28" s="22"/>
      <c r="E28" s="22"/>
      <c r="F28" s="30"/>
      <c r="G28" s="22"/>
      <c r="H28" s="21"/>
      <c r="I28" s="21"/>
      <c r="J28" s="23"/>
      <c r="K28" s="22"/>
      <c r="L28" s="22"/>
      <c r="M28" s="22"/>
      <c r="N28" s="22"/>
      <c r="O28" s="22"/>
      <c r="P28" s="22"/>
      <c r="Q28" s="23"/>
      <c r="R28" s="27"/>
      <c r="S28" s="27"/>
      <c r="T28" s="22"/>
      <c r="U28" s="22"/>
      <c r="V28" s="22"/>
      <c r="W28" s="42"/>
      <c r="X28" s="33"/>
      <c r="Y28" s="33"/>
      <c r="Z28" s="33"/>
      <c r="AA28" s="33"/>
      <c r="AB28" s="33"/>
      <c r="AC28" s="33"/>
      <c r="AD28" s="38"/>
      <c r="AE28" s="19"/>
    </row>
    <row r="29" spans="1:31" s="8" customFormat="1" ht="51" x14ac:dyDescent="0.2">
      <c r="A29" s="14" t="s">
        <v>259</v>
      </c>
      <c r="B29" s="53" t="s">
        <v>487</v>
      </c>
      <c r="C29" s="76" t="s">
        <v>664</v>
      </c>
      <c r="D29" s="22"/>
      <c r="E29" s="22"/>
      <c r="F29" s="30"/>
      <c r="G29" s="22"/>
      <c r="H29" s="21"/>
      <c r="I29" s="21"/>
      <c r="J29" s="23"/>
      <c r="K29" s="22"/>
      <c r="L29" s="22"/>
      <c r="M29" s="22"/>
      <c r="N29" s="22"/>
      <c r="O29" s="22"/>
      <c r="P29" s="22"/>
      <c r="Q29" s="23"/>
      <c r="R29" s="27"/>
      <c r="S29" s="27"/>
      <c r="T29" s="29"/>
      <c r="U29" s="29"/>
      <c r="V29" s="29"/>
      <c r="W29" s="43"/>
      <c r="X29" s="48"/>
      <c r="Y29" s="48"/>
      <c r="Z29" s="48"/>
      <c r="AA29" s="48"/>
      <c r="AB29" s="48"/>
      <c r="AC29" s="48"/>
      <c r="AD29" s="19"/>
      <c r="AE29" s="19"/>
    </row>
    <row r="30" spans="1:31" s="8" customFormat="1" ht="15" x14ac:dyDescent="0.2">
      <c r="A30" s="14" t="s">
        <v>255</v>
      </c>
      <c r="B30" s="68" t="s">
        <v>483</v>
      </c>
      <c r="C30" s="76" t="s">
        <v>660</v>
      </c>
      <c r="D30" s="22"/>
      <c r="E30" s="22"/>
      <c r="F30" s="30"/>
      <c r="G30" s="22"/>
      <c r="H30" s="21"/>
      <c r="I30" s="21"/>
      <c r="J30" s="25"/>
      <c r="K30" s="23"/>
      <c r="L30" s="22"/>
      <c r="M30" s="22"/>
      <c r="N30" s="22"/>
      <c r="O30" s="22"/>
      <c r="P30" s="22"/>
      <c r="Q30" s="23"/>
      <c r="R30" s="27"/>
      <c r="S30" s="27"/>
      <c r="T30" s="29"/>
      <c r="U30" s="29"/>
      <c r="V30" s="29"/>
      <c r="W30" s="43"/>
      <c r="X30" s="48"/>
      <c r="Y30" s="48"/>
      <c r="Z30" s="48"/>
      <c r="AA30" s="48"/>
      <c r="AB30" s="48"/>
      <c r="AC30" s="48"/>
      <c r="AD30" s="19"/>
      <c r="AE30" s="19"/>
    </row>
    <row r="31" spans="1:31" s="8" customFormat="1" ht="25.5" x14ac:dyDescent="0.2">
      <c r="A31" s="14" t="s">
        <v>262</v>
      </c>
      <c r="B31" s="68" t="s">
        <v>490</v>
      </c>
      <c r="C31" s="76" t="s">
        <v>667</v>
      </c>
      <c r="D31" s="22"/>
      <c r="E31" s="22"/>
      <c r="F31" s="30"/>
      <c r="G31" s="22"/>
      <c r="H31" s="21"/>
      <c r="I31" s="21"/>
      <c r="J31" s="25"/>
      <c r="K31" s="23"/>
      <c r="L31" s="22"/>
      <c r="M31" s="22"/>
      <c r="N31" s="22"/>
      <c r="O31" s="22"/>
      <c r="P31" s="22"/>
      <c r="Q31" s="23"/>
      <c r="R31" s="27"/>
      <c r="S31" s="27"/>
      <c r="T31" s="29"/>
      <c r="U31" s="29"/>
      <c r="V31" s="29"/>
      <c r="W31" s="43"/>
      <c r="X31" s="48"/>
      <c r="Y31" s="48"/>
      <c r="Z31" s="48"/>
      <c r="AA31" s="48"/>
      <c r="AB31" s="48"/>
      <c r="AC31" s="48"/>
      <c r="AD31" s="19"/>
      <c r="AE31" s="19"/>
    </row>
    <row r="32" spans="1:31" s="8" customFormat="1" ht="165.75" x14ac:dyDescent="0.2">
      <c r="A32" s="14" t="s">
        <v>276</v>
      </c>
      <c r="B32" s="53" t="s">
        <v>502</v>
      </c>
      <c r="C32" s="76" t="s">
        <v>677</v>
      </c>
      <c r="D32" s="22"/>
      <c r="E32" s="22"/>
      <c r="F32" s="30"/>
      <c r="G32" s="22"/>
      <c r="H32" s="21"/>
      <c r="I32" s="21"/>
      <c r="J32" s="25"/>
      <c r="K32" s="23"/>
      <c r="L32" s="22"/>
      <c r="M32" s="22"/>
      <c r="N32" s="22"/>
      <c r="O32" s="22"/>
      <c r="P32" s="22"/>
      <c r="Q32" s="23"/>
      <c r="R32" s="27"/>
      <c r="S32" s="27"/>
      <c r="T32" s="29"/>
      <c r="U32" s="29"/>
      <c r="V32" s="29"/>
      <c r="W32" s="43"/>
      <c r="X32" s="48"/>
      <c r="Y32" s="48"/>
      <c r="Z32" s="48"/>
      <c r="AA32" s="48"/>
      <c r="AB32" s="48"/>
      <c r="AC32" s="48"/>
      <c r="AD32" s="19"/>
      <c r="AE32" s="19"/>
    </row>
    <row r="33" spans="1:31" s="8" customFormat="1" ht="331.5" x14ac:dyDescent="0.2">
      <c r="A33" s="14" t="s">
        <v>277</v>
      </c>
      <c r="B33" s="53" t="s">
        <v>503</v>
      </c>
      <c r="C33" s="76" t="s">
        <v>678</v>
      </c>
      <c r="D33" s="22"/>
      <c r="E33" s="22"/>
      <c r="F33" s="30"/>
      <c r="G33" s="22"/>
      <c r="H33" s="21"/>
      <c r="I33" s="21"/>
      <c r="J33" s="25"/>
      <c r="K33" s="23"/>
      <c r="L33" s="22"/>
      <c r="M33" s="22"/>
      <c r="N33" s="22"/>
      <c r="O33" s="22"/>
      <c r="P33" s="22"/>
      <c r="Q33" s="23"/>
      <c r="R33" s="27"/>
      <c r="S33" s="27"/>
      <c r="T33" s="29"/>
      <c r="U33" s="29"/>
      <c r="V33" s="29"/>
      <c r="W33" s="43"/>
      <c r="X33" s="48"/>
      <c r="Y33" s="48"/>
      <c r="Z33" s="48"/>
      <c r="AA33" s="48"/>
      <c r="AB33" s="48"/>
      <c r="AC33" s="48"/>
      <c r="AD33" s="19"/>
      <c r="AE33" s="19"/>
    </row>
    <row r="34" spans="1:31" s="8" customFormat="1" ht="51" x14ac:dyDescent="0.2">
      <c r="A34" s="14" t="s">
        <v>297</v>
      </c>
      <c r="B34" s="73" t="s">
        <v>521</v>
      </c>
      <c r="C34" s="76" t="s">
        <v>577</v>
      </c>
      <c r="D34" s="22"/>
      <c r="E34" s="22"/>
      <c r="F34" s="30"/>
      <c r="G34" s="22"/>
      <c r="H34" s="21"/>
      <c r="I34" s="21"/>
      <c r="J34" s="23"/>
      <c r="K34" s="22"/>
      <c r="L34" s="22"/>
      <c r="M34" s="22"/>
      <c r="N34" s="22"/>
      <c r="O34" s="22"/>
      <c r="P34" s="22"/>
      <c r="Q34" s="23"/>
      <c r="R34" s="27"/>
      <c r="S34" s="27"/>
      <c r="T34" s="29"/>
      <c r="U34" s="29"/>
      <c r="V34" s="29"/>
      <c r="W34" s="43"/>
      <c r="X34" s="19"/>
      <c r="Y34" s="19"/>
      <c r="Z34" s="19"/>
      <c r="AA34" s="19"/>
      <c r="AB34" s="19"/>
      <c r="AC34" s="19"/>
      <c r="AD34" s="19"/>
      <c r="AE34" s="19"/>
    </row>
    <row r="35" spans="1:31" s="8" customFormat="1" ht="242.25" x14ac:dyDescent="0.2">
      <c r="A35" s="14" t="s">
        <v>278</v>
      </c>
      <c r="B35" s="53" t="s">
        <v>504</v>
      </c>
      <c r="C35" s="76" t="s">
        <v>679</v>
      </c>
      <c r="D35" s="22"/>
      <c r="E35" s="22"/>
      <c r="F35" s="30"/>
      <c r="G35" s="22"/>
      <c r="H35" s="21"/>
      <c r="I35" s="21"/>
      <c r="J35" s="25"/>
      <c r="K35" s="23"/>
      <c r="L35" s="22"/>
      <c r="M35" s="22"/>
      <c r="N35" s="22"/>
      <c r="O35" s="22"/>
      <c r="P35" s="22"/>
      <c r="Q35" s="23"/>
      <c r="R35" s="27"/>
      <c r="S35" s="27"/>
      <c r="T35" s="29"/>
      <c r="U35" s="29"/>
      <c r="V35" s="29"/>
      <c r="W35" s="43"/>
      <c r="X35" s="19"/>
      <c r="Y35" s="19"/>
      <c r="Z35" s="19"/>
      <c r="AA35" s="19"/>
      <c r="AB35" s="19"/>
      <c r="AC35" s="19"/>
      <c r="AD35" s="19"/>
      <c r="AE35" s="19"/>
    </row>
    <row r="36" spans="1:31" s="8" customFormat="1" ht="38.25" x14ac:dyDescent="0.2">
      <c r="A36" s="14" t="s">
        <v>243</v>
      </c>
      <c r="B36" s="68" t="s">
        <v>473</v>
      </c>
      <c r="C36" s="76"/>
      <c r="D36" s="22"/>
      <c r="E36" s="22"/>
      <c r="F36" s="30"/>
      <c r="G36" s="22"/>
      <c r="H36" s="21"/>
      <c r="I36" s="21"/>
      <c r="J36" s="25"/>
      <c r="K36" s="23"/>
      <c r="L36" s="22"/>
      <c r="M36" s="22"/>
      <c r="N36" s="22"/>
      <c r="O36" s="22"/>
      <c r="P36" s="22"/>
      <c r="Q36" s="23"/>
      <c r="R36" s="27"/>
      <c r="S36" s="27"/>
      <c r="T36" s="29"/>
      <c r="U36" s="29"/>
      <c r="V36" s="29"/>
      <c r="W36" s="43"/>
      <c r="X36" s="19"/>
      <c r="Y36" s="19"/>
      <c r="Z36" s="19"/>
      <c r="AA36" s="19"/>
      <c r="AB36" s="19"/>
      <c r="AC36" s="19"/>
      <c r="AD36" s="19"/>
      <c r="AE36" s="19"/>
    </row>
    <row r="37" spans="1:31" s="8" customFormat="1" ht="29.25" customHeight="1" x14ac:dyDescent="0.2">
      <c r="A37" s="14" t="s">
        <v>311</v>
      </c>
      <c r="B37" s="70" t="s">
        <v>529</v>
      </c>
      <c r="C37" s="77" t="s">
        <v>704</v>
      </c>
      <c r="D37" s="22"/>
      <c r="E37" s="22"/>
      <c r="F37" s="30"/>
      <c r="G37" s="22"/>
      <c r="H37" s="21"/>
      <c r="I37" s="21"/>
      <c r="J37" s="25"/>
      <c r="K37" s="28"/>
      <c r="L37" s="22"/>
      <c r="M37" s="22"/>
      <c r="N37" s="22"/>
      <c r="O37" s="22"/>
      <c r="P37" s="22"/>
      <c r="Q37" s="23"/>
      <c r="R37" s="27"/>
      <c r="S37" s="27"/>
      <c r="T37" s="29"/>
      <c r="U37" s="29"/>
      <c r="V37" s="29"/>
      <c r="W37" s="43"/>
      <c r="X37" s="19"/>
      <c r="Y37" s="19"/>
      <c r="Z37" s="19"/>
      <c r="AA37" s="19"/>
      <c r="AB37" s="19"/>
      <c r="AC37" s="19"/>
      <c r="AD37" s="19"/>
      <c r="AE37" s="19"/>
    </row>
    <row r="38" spans="1:31" s="8" customFormat="1" ht="29.25" customHeight="1" x14ac:dyDescent="0.2">
      <c r="A38" s="14" t="s">
        <v>286</v>
      </c>
      <c r="B38" s="75" t="s">
        <v>511</v>
      </c>
      <c r="C38" s="77" t="s">
        <v>686</v>
      </c>
      <c r="D38" s="22"/>
      <c r="E38" s="22"/>
      <c r="F38" s="30"/>
      <c r="G38" s="22"/>
      <c r="H38" s="21"/>
      <c r="I38" s="21"/>
      <c r="J38" s="23"/>
      <c r="K38" s="22"/>
      <c r="L38" s="22"/>
      <c r="M38" s="22"/>
      <c r="N38" s="22"/>
      <c r="O38" s="22"/>
      <c r="P38" s="22"/>
      <c r="Q38" s="23"/>
      <c r="R38" s="27"/>
      <c r="S38" s="27"/>
      <c r="T38" s="29"/>
      <c r="U38" s="29"/>
      <c r="V38" s="29"/>
      <c r="W38" s="43"/>
      <c r="X38" s="19"/>
      <c r="Y38" s="19"/>
      <c r="Z38" s="19"/>
      <c r="AA38" s="19"/>
      <c r="AB38" s="19"/>
      <c r="AC38" s="19"/>
      <c r="AD38" s="19"/>
      <c r="AE38" s="19"/>
    </row>
    <row r="39" spans="1:31" s="8" customFormat="1" ht="29.25" customHeight="1" x14ac:dyDescent="0.2">
      <c r="A39" s="22" t="s">
        <v>206</v>
      </c>
      <c r="B39" s="68" t="s">
        <v>446</v>
      </c>
      <c r="C39" s="76" t="s">
        <v>571</v>
      </c>
      <c r="D39" s="22"/>
      <c r="E39" s="22"/>
      <c r="F39" s="30"/>
      <c r="G39" s="22"/>
      <c r="H39" s="21"/>
      <c r="I39" s="21"/>
      <c r="J39" s="23"/>
      <c r="K39" s="22"/>
      <c r="L39" s="22"/>
      <c r="M39" s="22"/>
      <c r="N39" s="22"/>
      <c r="O39" s="22"/>
      <c r="P39" s="22"/>
      <c r="Q39" s="23"/>
      <c r="R39" s="27"/>
      <c r="S39" s="27"/>
      <c r="T39" s="29"/>
      <c r="U39" s="29"/>
      <c r="V39" s="29"/>
      <c r="W39" s="43"/>
      <c r="X39" s="19"/>
      <c r="Y39" s="19"/>
      <c r="Z39" s="19"/>
      <c r="AA39" s="19"/>
      <c r="AB39" s="19"/>
      <c r="AC39" s="19"/>
      <c r="AD39" s="19"/>
      <c r="AE39" s="19"/>
    </row>
    <row r="40" spans="1:31" s="8" customFormat="1" ht="29.25" customHeight="1" x14ac:dyDescent="0.2">
      <c r="A40" s="14" t="s">
        <v>273</v>
      </c>
      <c r="B40" s="53" t="s">
        <v>499</v>
      </c>
      <c r="C40" s="76" t="s">
        <v>674</v>
      </c>
      <c r="D40" s="22"/>
      <c r="E40" s="22"/>
      <c r="F40" s="30"/>
      <c r="G40" s="22"/>
      <c r="H40" s="21"/>
      <c r="I40" s="21"/>
      <c r="J40" s="25"/>
      <c r="K40" s="23"/>
      <c r="L40" s="22"/>
      <c r="M40" s="22"/>
      <c r="N40" s="22"/>
      <c r="O40" s="22"/>
      <c r="P40" s="22"/>
      <c r="Q40" s="23"/>
      <c r="R40" s="27"/>
      <c r="S40" s="27"/>
      <c r="T40" s="29"/>
      <c r="U40" s="29"/>
      <c r="V40" s="29"/>
      <c r="W40" s="43"/>
      <c r="X40" s="19"/>
      <c r="Y40" s="19"/>
      <c r="Z40" s="19"/>
      <c r="AA40" s="19"/>
      <c r="AB40" s="19"/>
      <c r="AC40" s="19"/>
      <c r="AD40" s="19"/>
      <c r="AE40" s="19"/>
    </row>
    <row r="41" spans="1:31" s="8" customFormat="1" ht="29.25" customHeight="1" x14ac:dyDescent="0.2">
      <c r="A41" s="14" t="s">
        <v>318</v>
      </c>
      <c r="B41" s="68" t="s">
        <v>535</v>
      </c>
      <c r="C41" s="54" t="s">
        <v>710</v>
      </c>
      <c r="D41" s="22"/>
      <c r="E41" s="22"/>
      <c r="F41" s="30"/>
      <c r="G41" s="22"/>
      <c r="H41" s="21"/>
      <c r="I41" s="21"/>
      <c r="J41" s="23"/>
      <c r="K41" s="22"/>
      <c r="L41" s="22"/>
      <c r="M41" s="22"/>
      <c r="N41" s="22"/>
      <c r="O41" s="22"/>
      <c r="P41" s="22"/>
      <c r="Q41" s="23"/>
      <c r="R41" s="27"/>
      <c r="S41" s="27"/>
      <c r="T41" s="29"/>
      <c r="U41" s="29"/>
      <c r="V41" s="29"/>
      <c r="W41" s="43"/>
      <c r="X41" s="19"/>
      <c r="Y41" s="19"/>
      <c r="Z41" s="19"/>
      <c r="AA41" s="19"/>
      <c r="AB41" s="19"/>
      <c r="AC41" s="19"/>
      <c r="AD41" s="19"/>
      <c r="AE41" s="19"/>
    </row>
    <row r="42" spans="1:31" s="8" customFormat="1" ht="29.25" customHeight="1" x14ac:dyDescent="0.2">
      <c r="A42" s="14" t="s">
        <v>320</v>
      </c>
      <c r="B42" s="54" t="s">
        <v>537</v>
      </c>
      <c r="C42" s="54" t="s">
        <v>712</v>
      </c>
      <c r="D42" s="22"/>
      <c r="E42" s="22"/>
      <c r="F42" s="30"/>
      <c r="G42" s="22"/>
      <c r="H42" s="21"/>
      <c r="I42" s="21"/>
      <c r="J42" s="23"/>
      <c r="K42" s="22"/>
      <c r="L42" s="22"/>
      <c r="M42" s="22"/>
      <c r="N42" s="22"/>
      <c r="O42" s="22"/>
      <c r="P42" s="22"/>
      <c r="Q42" s="23"/>
      <c r="R42" s="27"/>
      <c r="S42" s="27"/>
      <c r="T42" s="29"/>
      <c r="U42" s="29"/>
      <c r="V42" s="29"/>
      <c r="W42" s="43"/>
      <c r="X42" s="19"/>
      <c r="Y42" s="19"/>
      <c r="Z42" s="19"/>
      <c r="AA42" s="19"/>
      <c r="AB42" s="19"/>
      <c r="AC42" s="19"/>
      <c r="AD42" s="19"/>
      <c r="AE42" s="19"/>
    </row>
    <row r="43" spans="1:31" s="8" customFormat="1" ht="29.25" customHeight="1" x14ac:dyDescent="0.2">
      <c r="A43" s="14" t="s">
        <v>269</v>
      </c>
      <c r="B43" s="54" t="s">
        <v>496</v>
      </c>
      <c r="C43" s="54" t="s">
        <v>672</v>
      </c>
      <c r="D43" s="22"/>
      <c r="E43" s="22"/>
      <c r="F43" s="30"/>
      <c r="G43" s="22"/>
      <c r="H43" s="21"/>
      <c r="I43" s="21"/>
      <c r="J43" s="23"/>
      <c r="K43" s="22"/>
      <c r="L43" s="22"/>
      <c r="M43" s="22"/>
      <c r="N43" s="22"/>
      <c r="O43" s="22"/>
      <c r="P43" s="22"/>
      <c r="Q43" s="23"/>
      <c r="R43" s="27"/>
      <c r="S43" s="27"/>
      <c r="T43" s="29"/>
      <c r="U43" s="29"/>
      <c r="V43" s="29"/>
      <c r="W43" s="43"/>
      <c r="X43" s="19"/>
      <c r="Y43" s="19"/>
      <c r="Z43" s="19"/>
      <c r="AA43" s="19"/>
      <c r="AB43" s="19"/>
      <c r="AC43" s="19"/>
      <c r="AD43" s="19"/>
      <c r="AE43" s="19"/>
    </row>
    <row r="44" spans="1:31" s="8" customFormat="1" ht="127.5" x14ac:dyDescent="0.2">
      <c r="A44" s="14" t="s">
        <v>279</v>
      </c>
      <c r="B44" s="54" t="s">
        <v>505</v>
      </c>
      <c r="C44" s="54" t="s">
        <v>680</v>
      </c>
      <c r="D44" s="22"/>
      <c r="E44" s="22"/>
      <c r="F44" s="30"/>
      <c r="G44" s="22"/>
      <c r="H44" s="21"/>
      <c r="I44" s="21"/>
      <c r="J44" s="23"/>
      <c r="K44" s="22"/>
      <c r="L44" s="22"/>
      <c r="M44" s="22"/>
      <c r="N44" s="22"/>
      <c r="O44" s="22"/>
      <c r="P44" s="22"/>
      <c r="Q44" s="23"/>
      <c r="R44" s="27"/>
      <c r="S44" s="27"/>
      <c r="T44" s="29"/>
      <c r="U44" s="29"/>
      <c r="V44" s="29"/>
      <c r="W44" s="43"/>
      <c r="X44" s="19"/>
      <c r="Y44" s="19"/>
      <c r="Z44" s="19"/>
      <c r="AA44" s="19"/>
      <c r="AB44" s="19"/>
      <c r="AC44" s="19"/>
      <c r="AD44" s="19"/>
      <c r="AE44" s="19"/>
    </row>
    <row r="45" spans="1:31" s="8" customFormat="1" ht="29.25" customHeight="1" x14ac:dyDescent="0.2">
      <c r="A45" s="22" t="s">
        <v>151</v>
      </c>
      <c r="B45" s="54" t="s">
        <v>410</v>
      </c>
      <c r="C45" s="54"/>
      <c r="D45" s="22"/>
      <c r="E45" s="22"/>
      <c r="F45" s="30"/>
      <c r="G45" s="22"/>
      <c r="H45" s="21"/>
      <c r="I45" s="21"/>
      <c r="J45" s="23"/>
      <c r="K45" s="22"/>
      <c r="L45" s="22"/>
      <c r="M45" s="22"/>
      <c r="N45" s="22"/>
      <c r="O45" s="22"/>
      <c r="P45" s="22"/>
      <c r="Q45" s="23"/>
      <c r="R45" s="27"/>
      <c r="S45" s="27"/>
      <c r="T45" s="29"/>
      <c r="U45" s="29"/>
      <c r="V45" s="29"/>
      <c r="W45" s="43"/>
      <c r="X45" s="19"/>
      <c r="Y45" s="19"/>
      <c r="Z45" s="19"/>
      <c r="AA45" s="19"/>
      <c r="AB45" s="19"/>
      <c r="AC45" s="19"/>
      <c r="AD45" s="19"/>
      <c r="AE45" s="19"/>
    </row>
    <row r="46" spans="1:31" s="8" customFormat="1" ht="229.5" x14ac:dyDescent="0.2">
      <c r="A46" s="14" t="s">
        <v>264</v>
      </c>
      <c r="B46" s="54" t="s">
        <v>492</v>
      </c>
      <c r="C46" s="54" t="s">
        <v>669</v>
      </c>
      <c r="D46" s="22"/>
      <c r="E46" s="22"/>
      <c r="F46" s="30"/>
      <c r="G46" s="22"/>
      <c r="H46" s="21"/>
      <c r="I46" s="21"/>
      <c r="J46" s="23"/>
      <c r="K46" s="22"/>
      <c r="L46" s="22"/>
      <c r="M46" s="22"/>
      <c r="N46" s="22"/>
      <c r="O46" s="22"/>
      <c r="P46" s="22"/>
      <c r="Q46" s="23"/>
      <c r="R46" s="27"/>
      <c r="S46" s="27"/>
      <c r="T46" s="29"/>
      <c r="U46" s="29"/>
      <c r="V46" s="29"/>
      <c r="W46" s="43"/>
      <c r="X46" s="19"/>
      <c r="Y46" s="19"/>
      <c r="Z46" s="19"/>
      <c r="AA46" s="19"/>
      <c r="AB46" s="19"/>
      <c r="AC46" s="19"/>
      <c r="AD46" s="19"/>
      <c r="AE46" s="19"/>
    </row>
    <row r="47" spans="1:31" s="8" customFormat="1" ht="89.25" x14ac:dyDescent="0.2">
      <c r="A47" s="22" t="s">
        <v>170</v>
      </c>
      <c r="B47" s="54" t="s">
        <v>427</v>
      </c>
      <c r="C47" s="54" t="s">
        <v>613</v>
      </c>
      <c r="D47" s="22"/>
      <c r="E47" s="22"/>
      <c r="F47" s="30"/>
      <c r="G47" s="22"/>
      <c r="H47" s="21"/>
      <c r="I47" s="21"/>
      <c r="J47" s="23"/>
      <c r="K47" s="22"/>
      <c r="L47" s="22"/>
      <c r="M47" s="22"/>
      <c r="N47" s="22"/>
      <c r="O47" s="22"/>
      <c r="P47" s="22"/>
      <c r="Q47" s="23"/>
      <c r="R47" s="27"/>
      <c r="S47" s="27"/>
      <c r="T47" s="29"/>
      <c r="U47" s="29"/>
      <c r="V47" s="29"/>
      <c r="W47" s="43"/>
      <c r="X47" s="19"/>
      <c r="Y47" s="19"/>
      <c r="Z47" s="19"/>
      <c r="AA47" s="19"/>
      <c r="AB47" s="19"/>
      <c r="AC47" s="19"/>
      <c r="AD47" s="19"/>
      <c r="AE47" s="19"/>
    </row>
    <row r="48" spans="1:31" s="8" customFormat="1" ht="29.25" customHeight="1" x14ac:dyDescent="0.2">
      <c r="A48" s="14" t="s">
        <v>292</v>
      </c>
      <c r="B48" s="54" t="s">
        <v>516</v>
      </c>
      <c r="C48" s="54" t="s">
        <v>690</v>
      </c>
      <c r="D48" s="22"/>
      <c r="E48" s="22"/>
      <c r="F48" s="30"/>
      <c r="G48" s="22"/>
      <c r="H48" s="21"/>
      <c r="I48" s="21"/>
      <c r="J48" s="23"/>
      <c r="K48" s="22"/>
      <c r="L48" s="22"/>
      <c r="M48" s="22"/>
      <c r="N48" s="22"/>
      <c r="O48" s="22"/>
      <c r="P48" s="22"/>
      <c r="Q48" s="23"/>
      <c r="R48" s="27"/>
      <c r="S48" s="27"/>
      <c r="T48" s="29"/>
      <c r="U48" s="29"/>
      <c r="V48" s="29"/>
      <c r="W48" s="43"/>
      <c r="X48" s="19"/>
      <c r="Y48" s="19"/>
      <c r="Z48" s="19"/>
      <c r="AA48" s="19"/>
      <c r="AB48" s="19"/>
      <c r="AC48" s="19"/>
      <c r="AD48" s="19"/>
      <c r="AE48" s="19"/>
    </row>
    <row r="49" spans="1:31" s="8" customFormat="1" ht="29.25" customHeight="1" x14ac:dyDescent="0.2">
      <c r="A49" s="22" t="s">
        <v>160</v>
      </c>
      <c r="B49" s="54" t="s">
        <v>417</v>
      </c>
      <c r="C49" s="54" t="s">
        <v>606</v>
      </c>
      <c r="D49" s="22"/>
      <c r="E49" s="22"/>
      <c r="F49" s="30"/>
      <c r="G49" s="22"/>
      <c r="H49" s="21"/>
      <c r="I49" s="21"/>
      <c r="J49" s="23"/>
      <c r="K49" s="22"/>
      <c r="L49" s="22"/>
      <c r="M49" s="22"/>
      <c r="N49" s="22"/>
      <c r="O49" s="22"/>
      <c r="P49" s="22"/>
      <c r="Q49" s="23"/>
      <c r="R49" s="27"/>
      <c r="S49" s="27"/>
      <c r="T49" s="29"/>
      <c r="U49" s="29"/>
      <c r="V49" s="29"/>
      <c r="W49" s="43"/>
      <c r="X49" s="19"/>
      <c r="Y49" s="19"/>
      <c r="Z49" s="19"/>
      <c r="AA49" s="19"/>
      <c r="AB49" s="19"/>
      <c r="AC49" s="19"/>
      <c r="AD49" s="19"/>
      <c r="AE49" s="19"/>
    </row>
    <row r="50" spans="1:31" s="8" customFormat="1" ht="29.25" customHeight="1" x14ac:dyDescent="0.2">
      <c r="A50" s="22" t="s">
        <v>161</v>
      </c>
      <c r="B50" s="54" t="s">
        <v>418</v>
      </c>
      <c r="C50" s="53" t="s">
        <v>607</v>
      </c>
      <c r="D50" s="22"/>
      <c r="E50" s="22"/>
      <c r="F50" s="30"/>
      <c r="G50" s="22"/>
      <c r="H50" s="21"/>
      <c r="I50" s="21"/>
      <c r="J50" s="23"/>
      <c r="K50" s="22"/>
      <c r="L50" s="22"/>
      <c r="M50" s="22"/>
      <c r="N50" s="22"/>
      <c r="O50" s="22"/>
      <c r="P50" s="22"/>
      <c r="Q50" s="23"/>
      <c r="R50" s="27"/>
      <c r="S50" s="27"/>
      <c r="T50" s="29"/>
      <c r="U50" s="29"/>
      <c r="V50" s="29"/>
      <c r="W50" s="43"/>
      <c r="X50" s="19"/>
      <c r="Y50" s="19"/>
      <c r="Z50" s="19"/>
      <c r="AA50" s="19"/>
      <c r="AB50" s="19"/>
      <c r="AC50" s="19"/>
      <c r="AD50" s="19"/>
      <c r="AE50" s="19"/>
    </row>
    <row r="51" spans="1:31" s="8" customFormat="1" ht="29.25" customHeight="1" x14ac:dyDescent="0.2">
      <c r="A51" s="23" t="s">
        <v>128</v>
      </c>
      <c r="B51" s="54" t="s">
        <v>397</v>
      </c>
      <c r="C51" s="54" t="s">
        <v>591</v>
      </c>
      <c r="D51" s="22"/>
      <c r="E51" s="22"/>
      <c r="F51" s="30"/>
      <c r="G51" s="22"/>
      <c r="H51" s="21"/>
      <c r="I51" s="21"/>
      <c r="J51" s="25"/>
      <c r="K51" s="23"/>
      <c r="L51" s="22"/>
      <c r="M51" s="22"/>
      <c r="N51" s="22"/>
      <c r="O51" s="22"/>
      <c r="P51" s="22"/>
      <c r="Q51" s="23"/>
      <c r="R51" s="27"/>
      <c r="S51" s="27"/>
      <c r="T51" s="29"/>
      <c r="U51" s="29"/>
      <c r="V51" s="29"/>
      <c r="W51" s="43"/>
      <c r="X51" s="19"/>
      <c r="Y51" s="19"/>
      <c r="Z51" s="19"/>
      <c r="AA51" s="19"/>
      <c r="AB51" s="19"/>
      <c r="AC51" s="19"/>
      <c r="AD51" s="19"/>
      <c r="AE51" s="19"/>
    </row>
    <row r="52" spans="1:31" s="8" customFormat="1" ht="29.25" customHeight="1" x14ac:dyDescent="0.2">
      <c r="A52" s="14" t="s">
        <v>293</v>
      </c>
      <c r="B52" s="54" t="s">
        <v>517</v>
      </c>
      <c r="C52" s="65" t="s">
        <v>691</v>
      </c>
      <c r="D52" s="22"/>
      <c r="E52" s="22"/>
      <c r="F52" s="30"/>
      <c r="G52" s="22"/>
      <c r="H52" s="21"/>
      <c r="I52" s="21"/>
      <c r="J52" s="23"/>
      <c r="K52" s="22"/>
      <c r="L52" s="22"/>
      <c r="M52" s="22"/>
      <c r="N52" s="22"/>
      <c r="O52" s="22"/>
      <c r="P52" s="22"/>
      <c r="Q52" s="23"/>
      <c r="R52" s="27"/>
      <c r="S52" s="27"/>
      <c r="T52" s="29"/>
      <c r="U52" s="29"/>
      <c r="V52" s="29"/>
      <c r="W52" s="43"/>
      <c r="X52" s="19"/>
      <c r="Y52" s="19"/>
      <c r="Z52" s="19"/>
      <c r="AA52" s="19"/>
      <c r="AB52" s="19"/>
      <c r="AC52" s="19"/>
      <c r="AD52" s="19"/>
      <c r="AE52" s="19"/>
    </row>
    <row r="53" spans="1:31" s="8" customFormat="1" ht="29.25" customHeight="1" x14ac:dyDescent="0.2">
      <c r="A53" s="22" t="s">
        <v>212</v>
      </c>
      <c r="B53" s="55" t="s">
        <v>452</v>
      </c>
      <c r="C53" s="65" t="s">
        <v>635</v>
      </c>
      <c r="D53" s="22"/>
      <c r="E53" s="22"/>
      <c r="F53" s="30"/>
      <c r="G53" s="22"/>
      <c r="H53" s="21"/>
      <c r="I53" s="21"/>
      <c r="J53" s="23"/>
      <c r="K53" s="22"/>
      <c r="L53" s="22"/>
      <c r="M53" s="22"/>
      <c r="N53" s="22"/>
      <c r="O53" s="22"/>
      <c r="P53" s="22"/>
      <c r="Q53" s="23"/>
      <c r="R53" s="27"/>
      <c r="S53" s="27"/>
      <c r="T53" s="29"/>
      <c r="U53" s="29"/>
      <c r="V53" s="29"/>
      <c r="W53" s="43"/>
      <c r="X53" s="19"/>
      <c r="Y53" s="19"/>
      <c r="Z53" s="19"/>
      <c r="AA53" s="19"/>
      <c r="AB53" s="19"/>
      <c r="AC53" s="19"/>
      <c r="AD53" s="19"/>
      <c r="AE53" s="19"/>
    </row>
    <row r="54" spans="1:31" s="8" customFormat="1" ht="29.25" customHeight="1" x14ac:dyDescent="0.2">
      <c r="A54" s="22" t="s">
        <v>197</v>
      </c>
      <c r="B54" s="54" t="s">
        <v>440</v>
      </c>
      <c r="C54" s="54" t="s">
        <v>625</v>
      </c>
      <c r="D54" s="22"/>
      <c r="E54" s="22"/>
      <c r="F54" s="30"/>
      <c r="G54" s="22"/>
      <c r="H54" s="21"/>
      <c r="I54" s="21"/>
      <c r="J54" s="23"/>
      <c r="K54" s="22"/>
      <c r="L54" s="22"/>
      <c r="M54" s="22"/>
      <c r="N54" s="22"/>
      <c r="O54" s="22"/>
      <c r="P54" s="22"/>
      <c r="Q54" s="23"/>
      <c r="R54" s="27"/>
      <c r="S54" s="27"/>
      <c r="T54" s="29"/>
      <c r="U54" s="29"/>
      <c r="V54" s="29"/>
      <c r="W54" s="43"/>
      <c r="X54" s="19"/>
      <c r="Y54" s="19"/>
      <c r="Z54" s="19"/>
      <c r="AA54" s="19"/>
      <c r="AB54" s="19"/>
      <c r="AC54" s="19"/>
      <c r="AD54" s="19"/>
      <c r="AE54" s="19"/>
    </row>
    <row r="55" spans="1:31" s="8" customFormat="1" ht="127.5" x14ac:dyDescent="0.2">
      <c r="A55" s="22" t="s">
        <v>214</v>
      </c>
      <c r="B55" s="55" t="s">
        <v>454</v>
      </c>
      <c r="C55" s="54" t="s">
        <v>636</v>
      </c>
      <c r="D55" s="22"/>
      <c r="E55" s="22"/>
      <c r="F55" s="30"/>
      <c r="G55" s="22"/>
      <c r="H55" s="21"/>
      <c r="I55" s="21"/>
      <c r="J55" s="25"/>
      <c r="K55" s="23"/>
      <c r="L55" s="22"/>
      <c r="M55" s="22"/>
      <c r="N55" s="22"/>
      <c r="O55" s="22"/>
      <c r="P55" s="22"/>
      <c r="Q55" s="23"/>
      <c r="R55" s="27"/>
      <c r="S55" s="27"/>
      <c r="T55" s="22"/>
      <c r="U55" s="22"/>
      <c r="V55" s="22"/>
      <c r="W55" s="42"/>
      <c r="X55" s="19"/>
      <c r="Y55" s="19"/>
      <c r="Z55" s="19"/>
      <c r="AA55" s="19"/>
      <c r="AB55" s="19"/>
      <c r="AC55" s="19"/>
      <c r="AD55" s="19"/>
      <c r="AE55" s="19"/>
    </row>
    <row r="56" spans="1:31" s="8" customFormat="1" ht="38.25" x14ac:dyDescent="0.2">
      <c r="A56" s="14" t="s">
        <v>298</v>
      </c>
      <c r="B56" s="54" t="s">
        <v>522</v>
      </c>
      <c r="C56" s="54" t="s">
        <v>696</v>
      </c>
      <c r="D56" s="22"/>
      <c r="E56" s="22"/>
      <c r="F56" s="30"/>
      <c r="G56" s="22"/>
      <c r="H56" s="21"/>
      <c r="I56" s="21"/>
      <c r="J56" s="25"/>
      <c r="K56" s="23"/>
      <c r="L56" s="22"/>
      <c r="M56" s="22"/>
      <c r="N56" s="22"/>
      <c r="O56" s="22"/>
      <c r="P56" s="22"/>
      <c r="Q56" s="23"/>
      <c r="R56" s="27"/>
      <c r="S56" s="27"/>
      <c r="T56" s="22"/>
      <c r="U56" s="22"/>
      <c r="V56" s="22"/>
      <c r="W56" s="42"/>
      <c r="X56" s="19"/>
      <c r="Y56" s="19"/>
      <c r="Z56" s="19"/>
      <c r="AA56" s="19"/>
      <c r="AB56" s="19"/>
      <c r="AC56" s="19"/>
      <c r="AD56" s="19"/>
      <c r="AE56" s="19"/>
    </row>
    <row r="57" spans="1:31" s="8" customFormat="1" ht="40.5" customHeight="1" x14ac:dyDescent="0.2">
      <c r="A57" s="14" t="s">
        <v>322</v>
      </c>
      <c r="B57" s="54" t="s">
        <v>539</v>
      </c>
      <c r="C57" s="54" t="s">
        <v>714</v>
      </c>
      <c r="D57" s="22"/>
      <c r="E57" s="22"/>
      <c r="F57" s="30"/>
      <c r="G57" s="22"/>
      <c r="H57" s="21"/>
      <c r="I57" s="21"/>
      <c r="J57" s="25"/>
      <c r="K57" s="23"/>
      <c r="L57" s="22"/>
      <c r="M57" s="22"/>
      <c r="N57" s="22"/>
      <c r="O57" s="22"/>
      <c r="P57" s="22"/>
      <c r="Q57" s="23"/>
      <c r="R57" s="27"/>
      <c r="S57" s="27"/>
      <c r="T57" s="29"/>
      <c r="U57" s="29"/>
      <c r="V57" s="29"/>
      <c r="W57" s="43"/>
      <c r="X57" s="19"/>
      <c r="Y57" s="19"/>
      <c r="Z57" s="19"/>
      <c r="AA57" s="19"/>
      <c r="AB57" s="19"/>
      <c r="AC57" s="19"/>
      <c r="AD57" s="19"/>
      <c r="AE57" s="19"/>
    </row>
    <row r="58" spans="1:31" s="8" customFormat="1" ht="29.25" customHeight="1" x14ac:dyDescent="0.2">
      <c r="A58" s="22" t="s">
        <v>167</v>
      </c>
      <c r="B58" s="56" t="s">
        <v>424</v>
      </c>
      <c r="C58" s="54" t="s">
        <v>610</v>
      </c>
      <c r="D58" s="22"/>
      <c r="E58" s="22"/>
      <c r="F58" s="30"/>
      <c r="G58" s="22"/>
      <c r="H58" s="21"/>
      <c r="I58" s="21"/>
      <c r="J58" s="25"/>
      <c r="K58" s="23"/>
      <c r="L58" s="22"/>
      <c r="M58" s="22"/>
      <c r="N58" s="22"/>
      <c r="O58" s="22"/>
      <c r="P58" s="22"/>
      <c r="Q58" s="23"/>
      <c r="R58" s="27"/>
      <c r="S58" s="27"/>
      <c r="T58" s="29"/>
      <c r="U58" s="29"/>
      <c r="V58" s="29"/>
      <c r="W58" s="43"/>
      <c r="X58" s="19"/>
      <c r="Y58" s="19"/>
      <c r="Z58" s="19"/>
      <c r="AA58" s="19"/>
      <c r="AB58" s="19"/>
      <c r="AC58" s="19"/>
      <c r="AD58" s="19"/>
      <c r="AE58" s="19"/>
    </row>
    <row r="59" spans="1:31" s="8" customFormat="1" ht="29.25" customHeight="1" x14ac:dyDescent="0.2">
      <c r="A59" s="23" t="s">
        <v>121</v>
      </c>
      <c r="B59" s="57" t="s">
        <v>390</v>
      </c>
      <c r="C59" s="59" t="s">
        <v>585</v>
      </c>
      <c r="D59" s="22"/>
      <c r="E59" s="22"/>
      <c r="F59" s="30"/>
      <c r="G59" s="22"/>
      <c r="H59" s="21"/>
      <c r="I59" s="21"/>
      <c r="J59" s="23"/>
      <c r="K59" s="22"/>
      <c r="L59" s="22"/>
      <c r="M59" s="22"/>
      <c r="N59" s="22"/>
      <c r="O59" s="22"/>
      <c r="P59" s="22"/>
      <c r="Q59" s="23"/>
      <c r="R59" s="27"/>
      <c r="S59" s="27"/>
      <c r="T59" s="29"/>
      <c r="U59" s="29"/>
      <c r="V59" s="29"/>
      <c r="W59" s="43"/>
      <c r="X59" s="19"/>
      <c r="Y59" s="19"/>
      <c r="Z59" s="19"/>
      <c r="AA59" s="19"/>
      <c r="AB59" s="19"/>
      <c r="AC59" s="19"/>
      <c r="AD59" s="19"/>
      <c r="AE59" s="19"/>
    </row>
    <row r="60" spans="1:31" s="8" customFormat="1" ht="29.25" customHeight="1" x14ac:dyDescent="0.2">
      <c r="A60" s="22" t="s">
        <v>150</v>
      </c>
      <c r="B60" s="54" t="s">
        <v>410</v>
      </c>
      <c r="C60" s="54"/>
      <c r="D60" s="22"/>
      <c r="E60" s="22"/>
      <c r="F60" s="30"/>
      <c r="G60" s="22"/>
      <c r="H60" s="21"/>
      <c r="I60" s="21"/>
      <c r="J60" s="23"/>
      <c r="K60" s="22"/>
      <c r="L60" s="22"/>
      <c r="M60" s="22"/>
      <c r="N60" s="22"/>
      <c r="O60" s="22"/>
      <c r="P60" s="22"/>
      <c r="Q60" s="23"/>
      <c r="R60" s="27"/>
      <c r="S60" s="27"/>
      <c r="T60" s="29"/>
      <c r="U60" s="29"/>
      <c r="V60" s="29"/>
      <c r="W60" s="43"/>
      <c r="X60" s="19"/>
      <c r="Y60" s="19"/>
      <c r="Z60" s="19"/>
      <c r="AA60" s="19"/>
      <c r="AB60" s="19"/>
      <c r="AC60" s="19"/>
      <c r="AD60" s="19"/>
      <c r="AE60" s="19"/>
    </row>
    <row r="61" spans="1:31" s="8" customFormat="1" ht="66" customHeight="1" x14ac:dyDescent="0.2">
      <c r="A61" s="22" t="s">
        <v>149</v>
      </c>
      <c r="B61" s="54" t="s">
        <v>410</v>
      </c>
      <c r="C61" s="54"/>
      <c r="D61" s="22"/>
      <c r="E61" s="22"/>
      <c r="F61" s="30"/>
      <c r="G61" s="22"/>
      <c r="H61" s="21"/>
      <c r="I61" s="21"/>
      <c r="J61" s="25"/>
      <c r="K61" s="23"/>
      <c r="L61" s="22"/>
      <c r="M61" s="22"/>
      <c r="N61" s="22"/>
      <c r="O61" s="22"/>
      <c r="P61" s="22"/>
      <c r="Q61" s="27"/>
      <c r="R61" s="27"/>
      <c r="S61" s="27"/>
      <c r="T61" s="29"/>
      <c r="U61" s="29"/>
      <c r="V61" s="29"/>
      <c r="W61" s="43"/>
      <c r="X61" s="19"/>
      <c r="Y61" s="19"/>
      <c r="Z61" s="19"/>
      <c r="AA61" s="19"/>
      <c r="AB61" s="19"/>
      <c r="AC61" s="19"/>
      <c r="AD61" s="19"/>
      <c r="AE61" s="19"/>
    </row>
    <row r="62" spans="1:31" s="8" customFormat="1" ht="29.25" customHeight="1" x14ac:dyDescent="0.2">
      <c r="A62" s="14" t="s">
        <v>338</v>
      </c>
      <c r="B62" s="54" t="s">
        <v>550</v>
      </c>
      <c r="C62" s="54" t="s">
        <v>686</v>
      </c>
      <c r="D62" s="22"/>
      <c r="E62" s="22"/>
      <c r="F62" s="30"/>
      <c r="G62" s="22"/>
      <c r="H62" s="21"/>
      <c r="I62" s="21"/>
      <c r="J62" s="25"/>
      <c r="K62" s="23"/>
      <c r="L62" s="22"/>
      <c r="M62" s="22"/>
      <c r="N62" s="22"/>
      <c r="O62" s="22"/>
      <c r="P62" s="22"/>
      <c r="Q62" s="27"/>
      <c r="R62" s="27"/>
      <c r="S62" s="27"/>
      <c r="T62" s="29"/>
      <c r="U62" s="29"/>
      <c r="V62" s="29"/>
      <c r="W62" s="43"/>
      <c r="X62" s="19"/>
      <c r="Y62" s="19"/>
      <c r="Z62" s="19"/>
      <c r="AA62" s="19"/>
      <c r="AB62" s="19"/>
      <c r="AC62" s="19"/>
      <c r="AD62" s="19"/>
      <c r="AE62" s="19"/>
    </row>
    <row r="63" spans="1:31" s="8" customFormat="1" ht="39" customHeight="1" x14ac:dyDescent="0.2">
      <c r="A63" s="14" t="s">
        <v>336</v>
      </c>
      <c r="B63" s="54" t="s">
        <v>548</v>
      </c>
      <c r="C63" s="54" t="s">
        <v>722</v>
      </c>
      <c r="D63" s="22"/>
      <c r="E63" s="22"/>
      <c r="F63" s="30"/>
      <c r="G63" s="22"/>
      <c r="H63" s="21"/>
      <c r="I63" s="21"/>
      <c r="J63" s="25"/>
      <c r="K63" s="25"/>
      <c r="L63" s="22"/>
      <c r="M63" s="22"/>
      <c r="N63" s="22"/>
      <c r="O63" s="22"/>
      <c r="P63" s="22"/>
      <c r="Q63" s="27"/>
      <c r="R63" s="27"/>
      <c r="S63" s="27"/>
      <c r="T63" s="29"/>
      <c r="U63" s="29"/>
      <c r="V63" s="29"/>
      <c r="W63" s="43"/>
      <c r="X63" s="19"/>
      <c r="Y63" s="19"/>
      <c r="Z63" s="19"/>
      <c r="AA63" s="19"/>
      <c r="AB63" s="19"/>
      <c r="AC63" s="19"/>
      <c r="AD63" s="19"/>
      <c r="AE63" s="19"/>
    </row>
    <row r="64" spans="1:31" s="8" customFormat="1" ht="29.25" customHeight="1" x14ac:dyDescent="0.2">
      <c r="A64" s="14" t="s">
        <v>299</v>
      </c>
      <c r="B64" s="57" t="s">
        <v>523</v>
      </c>
      <c r="C64" s="54"/>
      <c r="D64" s="22"/>
      <c r="E64" s="22"/>
      <c r="F64" s="30"/>
      <c r="G64" s="22"/>
      <c r="H64" s="21"/>
      <c r="I64" s="21"/>
      <c r="J64" s="25"/>
      <c r="K64" s="25"/>
      <c r="L64" s="22"/>
      <c r="M64" s="22"/>
      <c r="N64" s="22"/>
      <c r="O64" s="22"/>
      <c r="P64" s="22"/>
      <c r="Q64" s="27"/>
      <c r="R64" s="27"/>
      <c r="S64" s="27"/>
      <c r="T64" s="29"/>
      <c r="U64" s="29"/>
      <c r="V64" s="29"/>
      <c r="W64" s="43"/>
      <c r="X64" s="19"/>
      <c r="Y64" s="19"/>
      <c r="Z64" s="19"/>
      <c r="AA64" s="19"/>
      <c r="AB64" s="19"/>
      <c r="AC64" s="19"/>
      <c r="AD64" s="19"/>
      <c r="AE64" s="19"/>
    </row>
    <row r="65" spans="1:31" s="8" customFormat="1" ht="29.25" customHeight="1" x14ac:dyDescent="0.2">
      <c r="A65" s="14" t="s">
        <v>352</v>
      </c>
      <c r="B65" s="60"/>
      <c r="C65" s="54"/>
      <c r="D65" s="22"/>
      <c r="E65" s="22"/>
      <c r="F65" s="30"/>
      <c r="G65" s="22"/>
      <c r="H65" s="21"/>
      <c r="I65" s="21"/>
      <c r="J65" s="25"/>
      <c r="K65" s="25"/>
      <c r="L65" s="22"/>
      <c r="M65" s="22"/>
      <c r="N65" s="22"/>
      <c r="O65" s="22"/>
      <c r="P65" s="22"/>
      <c r="Q65" s="27"/>
      <c r="R65" s="27"/>
      <c r="S65" s="27"/>
      <c r="T65" s="29"/>
      <c r="U65" s="29"/>
      <c r="V65" s="29"/>
      <c r="W65" s="43"/>
      <c r="X65" s="19"/>
      <c r="Y65" s="19"/>
      <c r="Z65" s="19"/>
      <c r="AA65" s="19"/>
      <c r="AB65" s="19"/>
      <c r="AC65" s="19"/>
      <c r="AD65" s="19"/>
      <c r="AE65" s="19"/>
    </row>
    <row r="66" spans="1:31" s="8" customFormat="1" ht="29.25" customHeight="1" x14ac:dyDescent="0.2">
      <c r="A66" s="14" t="s">
        <v>301</v>
      </c>
      <c r="B66" s="54" t="s">
        <v>301</v>
      </c>
      <c r="C66" s="54"/>
      <c r="D66" s="22"/>
      <c r="E66" s="22"/>
      <c r="F66" s="30"/>
      <c r="G66" s="22"/>
      <c r="H66" s="21"/>
      <c r="I66" s="21"/>
      <c r="J66" s="25"/>
      <c r="K66" s="25"/>
      <c r="L66" s="22"/>
      <c r="M66" s="22"/>
      <c r="N66" s="22"/>
      <c r="O66" s="22"/>
      <c r="P66" s="22"/>
      <c r="Q66" s="27"/>
      <c r="R66" s="27"/>
      <c r="S66" s="27"/>
      <c r="T66" s="29"/>
      <c r="U66" s="29"/>
      <c r="V66" s="29"/>
      <c r="W66" s="43"/>
      <c r="X66" s="19"/>
      <c r="Y66" s="19"/>
      <c r="Z66" s="19"/>
      <c r="AA66" s="19"/>
      <c r="AB66" s="19"/>
      <c r="AC66" s="19"/>
      <c r="AD66" s="19"/>
      <c r="AE66" s="19"/>
    </row>
    <row r="67" spans="1:31" s="8" customFormat="1" ht="29.25" customHeight="1" x14ac:dyDescent="0.2">
      <c r="A67" s="22" t="s">
        <v>166</v>
      </c>
      <c r="B67" s="54" t="s">
        <v>423</v>
      </c>
      <c r="C67" s="54" t="s">
        <v>609</v>
      </c>
      <c r="D67" s="22"/>
      <c r="E67" s="22"/>
      <c r="F67" s="30"/>
      <c r="G67" s="22"/>
      <c r="H67" s="21"/>
      <c r="I67" s="21"/>
      <c r="J67" s="25"/>
      <c r="K67" s="22"/>
      <c r="L67" s="22"/>
      <c r="M67" s="22"/>
      <c r="N67" s="22"/>
      <c r="O67" s="22"/>
      <c r="P67" s="22"/>
      <c r="Q67" s="27"/>
      <c r="R67" s="27"/>
      <c r="S67" s="27"/>
      <c r="T67" s="29"/>
      <c r="U67" s="29"/>
      <c r="V67" s="29"/>
      <c r="W67" s="43"/>
      <c r="X67" s="19"/>
      <c r="Y67" s="19"/>
      <c r="Z67" s="19"/>
      <c r="AA67" s="19"/>
      <c r="AB67" s="19"/>
      <c r="AC67" s="19"/>
      <c r="AD67" s="19"/>
      <c r="AE67" s="19"/>
    </row>
    <row r="68" spans="1:31" s="8" customFormat="1" ht="29.25" customHeight="1" x14ac:dyDescent="0.2">
      <c r="A68" s="14" t="s">
        <v>302</v>
      </c>
      <c r="B68" s="56" t="s">
        <v>524</v>
      </c>
      <c r="C68" s="54" t="s">
        <v>697</v>
      </c>
      <c r="D68" s="22"/>
      <c r="E68" s="22"/>
      <c r="F68" s="30"/>
      <c r="G68" s="22"/>
      <c r="H68" s="21"/>
      <c r="I68" s="21"/>
      <c r="J68" s="25"/>
      <c r="K68" s="22"/>
      <c r="L68" s="22"/>
      <c r="M68" s="22"/>
      <c r="N68" s="22"/>
      <c r="O68" s="22"/>
      <c r="P68" s="22"/>
      <c r="Q68" s="27"/>
      <c r="R68" s="27"/>
      <c r="S68" s="27"/>
      <c r="T68" s="29"/>
      <c r="U68" s="29"/>
      <c r="V68" s="29"/>
      <c r="W68" s="43"/>
      <c r="X68" s="19"/>
      <c r="Y68" s="19"/>
      <c r="Z68" s="19"/>
      <c r="AA68" s="19"/>
      <c r="AB68" s="19"/>
      <c r="AC68" s="19"/>
      <c r="AD68" s="19"/>
      <c r="AE68" s="19"/>
    </row>
    <row r="69" spans="1:31" s="8" customFormat="1" ht="29.25" customHeight="1" x14ac:dyDescent="0.2">
      <c r="A69" s="14" t="s">
        <v>303</v>
      </c>
      <c r="B69" s="56" t="s">
        <v>303</v>
      </c>
      <c r="C69" s="54" t="s">
        <v>698</v>
      </c>
      <c r="D69" s="22"/>
      <c r="E69" s="22"/>
      <c r="F69" s="30"/>
      <c r="G69" s="22"/>
      <c r="H69" s="21"/>
      <c r="I69" s="21"/>
      <c r="J69" s="25"/>
      <c r="K69" s="22"/>
      <c r="L69" s="22"/>
      <c r="M69" s="22"/>
      <c r="N69" s="22"/>
      <c r="O69" s="22"/>
      <c r="P69" s="22"/>
      <c r="Q69" s="27"/>
      <c r="R69" s="27"/>
      <c r="S69" s="27"/>
      <c r="T69" s="29"/>
      <c r="U69" s="29"/>
      <c r="V69" s="29"/>
      <c r="W69" s="43"/>
      <c r="X69" s="19"/>
      <c r="Y69" s="19"/>
      <c r="Z69" s="19"/>
      <c r="AA69" s="19"/>
      <c r="AB69" s="19"/>
      <c r="AC69" s="19"/>
      <c r="AD69" s="19"/>
      <c r="AE69" s="19"/>
    </row>
    <row r="70" spans="1:31" s="8" customFormat="1" ht="29.25" customHeight="1" x14ac:dyDescent="0.2">
      <c r="A70" s="22" t="s">
        <v>225</v>
      </c>
      <c r="B70" s="55" t="s">
        <v>463</v>
      </c>
      <c r="C70" s="54" t="s">
        <v>644</v>
      </c>
      <c r="D70" s="22"/>
      <c r="E70" s="22"/>
      <c r="F70" s="30"/>
      <c r="G70" s="22"/>
      <c r="H70" s="21"/>
      <c r="I70" s="21"/>
      <c r="J70" s="31"/>
      <c r="K70" s="31"/>
      <c r="L70" s="22"/>
      <c r="M70" s="22"/>
      <c r="N70" s="22"/>
      <c r="O70" s="22"/>
      <c r="P70" s="22"/>
      <c r="Q70" s="27"/>
      <c r="R70" s="27"/>
      <c r="S70" s="27"/>
      <c r="T70" s="29"/>
      <c r="U70" s="29"/>
      <c r="V70" s="29"/>
      <c r="W70" s="43"/>
      <c r="X70" s="19"/>
      <c r="Y70" s="19"/>
      <c r="Z70" s="19"/>
      <c r="AA70" s="19"/>
      <c r="AB70" s="19"/>
      <c r="AC70" s="19"/>
      <c r="AD70" s="19"/>
      <c r="AE70" s="19"/>
    </row>
    <row r="71" spans="1:31" s="8" customFormat="1" ht="29.25" customHeight="1" x14ac:dyDescent="0.2">
      <c r="A71" s="14" t="s">
        <v>324</v>
      </c>
      <c r="B71" s="60" t="s">
        <v>441</v>
      </c>
      <c r="C71" s="54"/>
      <c r="D71" s="22"/>
      <c r="E71" s="22"/>
      <c r="F71" s="30"/>
      <c r="G71" s="22"/>
      <c r="H71" s="21"/>
      <c r="I71" s="21"/>
      <c r="J71" s="31"/>
      <c r="K71" s="31"/>
      <c r="L71" s="22"/>
      <c r="M71" s="22"/>
      <c r="N71" s="22"/>
      <c r="O71" s="22"/>
      <c r="P71" s="22"/>
      <c r="Q71" s="27"/>
      <c r="R71" s="27"/>
      <c r="S71" s="27"/>
      <c r="T71" s="29"/>
      <c r="U71" s="29"/>
      <c r="V71" s="29"/>
      <c r="W71" s="43"/>
      <c r="X71" s="19"/>
      <c r="Y71" s="19"/>
      <c r="Z71" s="19"/>
      <c r="AA71" s="19"/>
      <c r="AB71" s="19"/>
      <c r="AC71" s="19"/>
      <c r="AD71" s="19"/>
      <c r="AE71" s="19"/>
    </row>
    <row r="72" spans="1:31" s="8" customFormat="1" ht="29.25" customHeight="1" x14ac:dyDescent="0.2">
      <c r="A72" s="22" t="s">
        <v>171</v>
      </c>
      <c r="B72" s="56" t="s">
        <v>428</v>
      </c>
      <c r="C72" s="54" t="s">
        <v>614</v>
      </c>
      <c r="D72" s="22"/>
      <c r="E72" s="22"/>
      <c r="F72" s="30"/>
      <c r="G72" s="22"/>
      <c r="H72" s="21"/>
      <c r="I72" s="21"/>
      <c r="J72" s="31"/>
      <c r="K72" s="31"/>
      <c r="L72" s="22"/>
      <c r="M72" s="22"/>
      <c r="N72" s="22"/>
      <c r="O72" s="22"/>
      <c r="P72" s="22"/>
      <c r="Q72" s="27"/>
      <c r="R72" s="27"/>
      <c r="S72" s="27"/>
      <c r="T72" s="29"/>
      <c r="U72" s="29"/>
      <c r="V72" s="29"/>
      <c r="W72" s="43"/>
      <c r="X72" s="19"/>
      <c r="Y72" s="19"/>
      <c r="Z72" s="19"/>
      <c r="AA72" s="19"/>
      <c r="AB72" s="19"/>
      <c r="AC72" s="19"/>
      <c r="AD72" s="19"/>
      <c r="AE72" s="19"/>
    </row>
    <row r="73" spans="1:31" s="8" customFormat="1" ht="29.25" customHeight="1" x14ac:dyDescent="0.2">
      <c r="A73" s="22" t="s">
        <v>208</v>
      </c>
      <c r="B73" s="55" t="s">
        <v>448</v>
      </c>
      <c r="C73" s="54" t="s">
        <v>631</v>
      </c>
      <c r="D73" s="22"/>
      <c r="E73" s="22"/>
      <c r="F73" s="30"/>
      <c r="G73" s="22"/>
      <c r="H73" s="21"/>
      <c r="I73" s="21"/>
      <c r="J73" s="31"/>
      <c r="K73" s="31"/>
      <c r="L73" s="22"/>
      <c r="M73" s="22"/>
      <c r="N73" s="22"/>
      <c r="O73" s="22"/>
      <c r="P73" s="22"/>
      <c r="Q73" s="27"/>
      <c r="R73" s="27"/>
      <c r="S73" s="27"/>
      <c r="T73" s="29"/>
      <c r="U73" s="29"/>
      <c r="V73" s="29"/>
      <c r="W73" s="43"/>
      <c r="X73" s="19"/>
      <c r="Y73" s="19"/>
      <c r="Z73" s="19"/>
      <c r="AA73" s="19"/>
      <c r="AB73" s="19"/>
      <c r="AC73" s="19"/>
      <c r="AD73" s="19"/>
      <c r="AE73" s="19"/>
    </row>
    <row r="74" spans="1:31" s="8" customFormat="1" ht="29.25" customHeight="1" x14ac:dyDescent="0.2">
      <c r="A74" s="14" t="s">
        <v>323</v>
      </c>
      <c r="B74" s="60" t="s">
        <v>540</v>
      </c>
      <c r="C74" s="54" t="s">
        <v>715</v>
      </c>
      <c r="D74" s="22"/>
      <c r="E74" s="22"/>
      <c r="F74" s="30"/>
      <c r="G74" s="22"/>
      <c r="H74" s="21"/>
      <c r="I74" s="21"/>
      <c r="J74" s="31"/>
      <c r="K74" s="31"/>
      <c r="L74" s="22"/>
      <c r="M74" s="22"/>
      <c r="N74" s="22"/>
      <c r="O74" s="22"/>
      <c r="P74" s="22"/>
      <c r="Q74" s="27"/>
      <c r="R74" s="27"/>
      <c r="S74" s="27"/>
      <c r="T74" s="29"/>
      <c r="U74" s="29"/>
      <c r="V74" s="29"/>
      <c r="W74" s="43"/>
      <c r="X74" s="19"/>
      <c r="Y74" s="19"/>
      <c r="Z74" s="19"/>
      <c r="AA74" s="19"/>
      <c r="AB74" s="19"/>
      <c r="AC74" s="19"/>
      <c r="AD74" s="19"/>
      <c r="AE74" s="19"/>
    </row>
    <row r="75" spans="1:31" s="8" customFormat="1" ht="29.25" customHeight="1" x14ac:dyDescent="0.2">
      <c r="A75" s="23" t="s">
        <v>135</v>
      </c>
      <c r="B75" s="54" t="s">
        <v>403</v>
      </c>
      <c r="C75" s="54" t="s">
        <v>596</v>
      </c>
      <c r="D75" s="22"/>
      <c r="E75" s="22"/>
      <c r="F75" s="30"/>
      <c r="G75" s="22"/>
      <c r="H75" s="21"/>
      <c r="I75" s="21"/>
      <c r="J75" s="31"/>
      <c r="K75" s="31"/>
      <c r="L75" s="22"/>
      <c r="M75" s="22"/>
      <c r="N75" s="22"/>
      <c r="O75" s="22"/>
      <c r="P75" s="22"/>
      <c r="Q75" s="27"/>
      <c r="R75" s="27"/>
      <c r="S75" s="27"/>
      <c r="T75" s="29"/>
      <c r="U75" s="29"/>
      <c r="V75" s="29"/>
      <c r="W75" s="43"/>
      <c r="X75" s="19"/>
      <c r="Y75" s="19"/>
      <c r="Z75" s="19"/>
      <c r="AA75" s="19"/>
      <c r="AB75" s="19"/>
      <c r="AC75" s="19"/>
      <c r="AD75" s="19"/>
      <c r="AE75" s="19"/>
    </row>
    <row r="76" spans="1:31" s="8" customFormat="1" ht="29.25" customHeight="1" x14ac:dyDescent="0.2">
      <c r="A76" s="23" t="s">
        <v>136</v>
      </c>
      <c r="B76" s="54" t="s">
        <v>404</v>
      </c>
      <c r="C76" s="54" t="s">
        <v>597</v>
      </c>
      <c r="D76" s="22"/>
      <c r="E76" s="22"/>
      <c r="F76" s="30"/>
      <c r="G76" s="22"/>
      <c r="H76" s="21"/>
      <c r="I76" s="21"/>
      <c r="J76" s="31"/>
      <c r="K76" s="31"/>
      <c r="L76" s="22"/>
      <c r="M76" s="22"/>
      <c r="N76" s="22"/>
      <c r="O76" s="22"/>
      <c r="P76" s="22"/>
      <c r="Q76" s="27"/>
      <c r="R76" s="27"/>
      <c r="S76" s="27"/>
      <c r="T76" s="29"/>
      <c r="U76" s="29"/>
      <c r="V76" s="29"/>
      <c r="W76" s="43"/>
      <c r="X76" s="19"/>
      <c r="Y76" s="19"/>
      <c r="Z76" s="19"/>
      <c r="AA76" s="19"/>
      <c r="AB76" s="19"/>
      <c r="AC76" s="19"/>
      <c r="AD76" s="19"/>
      <c r="AE76" s="19"/>
    </row>
    <row r="77" spans="1:31" s="8" customFormat="1" ht="29.25" customHeight="1" x14ac:dyDescent="0.2">
      <c r="A77" s="14" t="s">
        <v>237</v>
      </c>
      <c r="B77" s="56" t="s">
        <v>467</v>
      </c>
      <c r="C77" s="54" t="s">
        <v>648</v>
      </c>
      <c r="D77" s="22"/>
      <c r="E77" s="22"/>
      <c r="F77" s="30"/>
      <c r="G77" s="22"/>
      <c r="H77" s="21"/>
      <c r="I77" s="21"/>
      <c r="J77" s="31"/>
      <c r="K77" s="31"/>
      <c r="L77" s="22"/>
      <c r="M77" s="22"/>
      <c r="N77" s="22"/>
      <c r="O77" s="22"/>
      <c r="P77" s="22"/>
      <c r="Q77" s="27"/>
      <c r="R77" s="27"/>
      <c r="S77" s="27"/>
      <c r="T77" s="29"/>
      <c r="U77" s="29"/>
      <c r="V77" s="29"/>
      <c r="W77" s="43"/>
      <c r="X77" s="19"/>
      <c r="Y77" s="19"/>
      <c r="Z77" s="19"/>
      <c r="AA77" s="19"/>
      <c r="AB77" s="19"/>
      <c r="AC77" s="19"/>
      <c r="AD77" s="19"/>
      <c r="AE77" s="19"/>
    </row>
    <row r="78" spans="1:31" s="8" customFormat="1" ht="29.25" customHeight="1" x14ac:dyDescent="0.2">
      <c r="A78" s="14" t="s">
        <v>240</v>
      </c>
      <c r="B78" s="55" t="s">
        <v>470</v>
      </c>
      <c r="C78" s="54" t="s">
        <v>651</v>
      </c>
      <c r="D78" s="22"/>
      <c r="E78" s="22"/>
      <c r="F78" s="30"/>
      <c r="G78" s="22"/>
      <c r="H78" s="21"/>
      <c r="I78" s="21"/>
      <c r="J78" s="31"/>
      <c r="K78" s="31"/>
      <c r="L78" s="22"/>
      <c r="M78" s="22"/>
      <c r="N78" s="22"/>
      <c r="O78" s="22"/>
      <c r="P78" s="22"/>
      <c r="Q78" s="27"/>
      <c r="R78" s="27"/>
      <c r="S78" s="27"/>
      <c r="T78" s="29"/>
      <c r="U78" s="29"/>
      <c r="V78" s="29"/>
      <c r="W78" s="43"/>
      <c r="X78" s="19"/>
      <c r="Y78" s="19"/>
      <c r="Z78" s="19"/>
      <c r="AA78" s="19"/>
      <c r="AB78" s="19"/>
      <c r="AC78" s="19"/>
      <c r="AD78" s="19"/>
      <c r="AE78" s="19"/>
    </row>
    <row r="79" spans="1:31" s="8" customFormat="1" ht="29.25" customHeight="1" x14ac:dyDescent="0.2">
      <c r="A79" s="22" t="s">
        <v>217</v>
      </c>
      <c r="B79" s="56" t="s">
        <v>457</v>
      </c>
      <c r="C79" s="54" t="s">
        <v>571</v>
      </c>
      <c r="D79" s="22"/>
      <c r="E79" s="22"/>
      <c r="F79" s="30"/>
      <c r="G79" s="22"/>
      <c r="H79" s="21"/>
      <c r="I79" s="21"/>
      <c r="J79" s="31"/>
      <c r="K79" s="31"/>
      <c r="L79" s="22"/>
      <c r="M79" s="22"/>
      <c r="N79" s="22"/>
      <c r="O79" s="22"/>
      <c r="P79" s="22"/>
      <c r="Q79" s="27"/>
      <c r="R79" s="27"/>
      <c r="S79" s="27"/>
      <c r="T79" s="29"/>
      <c r="U79" s="29"/>
      <c r="V79" s="29"/>
      <c r="W79" s="43"/>
      <c r="X79" s="19"/>
      <c r="Y79" s="19"/>
      <c r="Z79" s="19"/>
      <c r="AA79" s="19"/>
      <c r="AB79" s="19"/>
      <c r="AC79" s="19"/>
      <c r="AD79" s="19"/>
      <c r="AE79" s="19"/>
    </row>
    <row r="80" spans="1:31" s="8" customFormat="1" ht="29.25" customHeight="1" x14ac:dyDescent="0.2">
      <c r="A80" s="14" t="s">
        <v>217</v>
      </c>
      <c r="B80" s="56" t="s">
        <v>457</v>
      </c>
      <c r="C80" s="54" t="s">
        <v>694</v>
      </c>
      <c r="D80" s="22"/>
      <c r="E80" s="22"/>
      <c r="F80" s="30"/>
      <c r="G80" s="22"/>
      <c r="H80" s="21"/>
      <c r="I80" s="21"/>
      <c r="J80" s="31"/>
      <c r="K80" s="31"/>
      <c r="L80" s="22"/>
      <c r="M80" s="22"/>
      <c r="N80" s="22"/>
      <c r="O80" s="22"/>
      <c r="P80" s="22"/>
      <c r="Q80" s="27"/>
      <c r="R80" s="27"/>
      <c r="S80" s="27"/>
      <c r="T80" s="29"/>
      <c r="U80" s="29"/>
      <c r="V80" s="29"/>
      <c r="W80" s="43"/>
      <c r="X80" s="19"/>
      <c r="Y80" s="19"/>
      <c r="Z80" s="19"/>
      <c r="AA80" s="19"/>
      <c r="AB80" s="19"/>
      <c r="AC80" s="19"/>
      <c r="AD80" s="19"/>
      <c r="AE80" s="19"/>
    </row>
    <row r="81" spans="1:31" s="8" customFormat="1" ht="29.25" customHeight="1" x14ac:dyDescent="0.2">
      <c r="A81" s="22" t="s">
        <v>216</v>
      </c>
      <c r="B81" s="55" t="s">
        <v>456</v>
      </c>
      <c r="C81" s="54" t="s">
        <v>638</v>
      </c>
      <c r="D81" s="22"/>
      <c r="E81" s="22"/>
      <c r="F81" s="30"/>
      <c r="G81" s="22"/>
      <c r="H81" s="21"/>
      <c r="I81" s="21"/>
      <c r="J81" s="31"/>
      <c r="K81" s="31"/>
      <c r="L81" s="22"/>
      <c r="M81" s="22"/>
      <c r="N81" s="22"/>
      <c r="O81" s="22"/>
      <c r="P81" s="22"/>
      <c r="Q81" s="27"/>
      <c r="R81" s="27"/>
      <c r="S81" s="27"/>
      <c r="T81" s="29"/>
      <c r="U81" s="29"/>
      <c r="V81" s="29"/>
      <c r="W81" s="43"/>
      <c r="X81" s="19"/>
      <c r="Y81" s="19"/>
      <c r="Z81" s="19"/>
      <c r="AA81" s="19"/>
      <c r="AB81" s="19"/>
      <c r="AC81" s="19"/>
      <c r="AD81" s="19"/>
      <c r="AE81" s="19"/>
    </row>
    <row r="82" spans="1:31" s="8" customFormat="1" ht="29.25" customHeight="1" x14ac:dyDescent="0.2">
      <c r="A82" s="22" t="s">
        <v>172</v>
      </c>
      <c r="B82" s="55" t="s">
        <v>429</v>
      </c>
      <c r="C82" s="54" t="s">
        <v>615</v>
      </c>
      <c r="D82" s="22"/>
      <c r="E82" s="22"/>
      <c r="F82" s="30"/>
      <c r="G82" s="22"/>
      <c r="H82" s="21"/>
      <c r="I82" s="21"/>
      <c r="J82" s="31"/>
      <c r="K82" s="31"/>
      <c r="L82" s="22"/>
      <c r="M82" s="22"/>
      <c r="N82" s="22"/>
      <c r="O82" s="22"/>
      <c r="P82" s="22"/>
      <c r="Q82" s="27"/>
      <c r="R82" s="27"/>
      <c r="S82" s="27"/>
      <c r="T82" s="29"/>
      <c r="U82" s="29"/>
      <c r="V82" s="29"/>
      <c r="W82" s="43"/>
      <c r="X82" s="19"/>
      <c r="Y82" s="19"/>
      <c r="Z82" s="19"/>
      <c r="AA82" s="19"/>
      <c r="AB82" s="19"/>
      <c r="AC82" s="19"/>
      <c r="AD82" s="19"/>
      <c r="AE82" s="19"/>
    </row>
    <row r="83" spans="1:31" s="8" customFormat="1" ht="29.25" customHeight="1" x14ac:dyDescent="0.2">
      <c r="A83" s="14" t="s">
        <v>342</v>
      </c>
      <c r="B83" s="56" t="s">
        <v>552</v>
      </c>
      <c r="C83" s="54" t="s">
        <v>571</v>
      </c>
      <c r="D83" s="22"/>
      <c r="E83" s="22"/>
      <c r="F83" s="30"/>
      <c r="G83" s="22"/>
      <c r="H83" s="21"/>
      <c r="I83" s="21"/>
      <c r="J83" s="31"/>
      <c r="K83" s="31"/>
      <c r="L83" s="22"/>
      <c r="M83" s="22"/>
      <c r="N83" s="22"/>
      <c r="O83" s="22"/>
      <c r="P83" s="22"/>
      <c r="Q83" s="27"/>
      <c r="R83" s="27"/>
      <c r="S83" s="27"/>
      <c r="T83" s="29"/>
      <c r="U83" s="29"/>
      <c r="V83" s="29"/>
      <c r="W83" s="43"/>
      <c r="X83" s="19"/>
      <c r="Y83" s="19"/>
      <c r="Z83" s="19"/>
      <c r="AA83" s="19"/>
      <c r="AB83" s="19"/>
      <c r="AC83" s="19"/>
      <c r="AD83" s="19"/>
      <c r="AE83" s="19"/>
    </row>
    <row r="84" spans="1:31" s="8" customFormat="1" ht="29.25" customHeight="1" x14ac:dyDescent="0.2">
      <c r="A84" s="14" t="s">
        <v>342</v>
      </c>
      <c r="B84" s="56" t="s">
        <v>552</v>
      </c>
      <c r="C84" s="54" t="s">
        <v>571</v>
      </c>
      <c r="D84" s="22"/>
      <c r="E84" s="22"/>
      <c r="F84" s="30"/>
      <c r="G84" s="22"/>
      <c r="H84" s="21"/>
      <c r="I84" s="21"/>
      <c r="J84" s="31"/>
      <c r="K84" s="31"/>
      <c r="L84" s="22"/>
      <c r="M84" s="22"/>
      <c r="N84" s="22"/>
      <c r="O84" s="22"/>
      <c r="P84" s="22"/>
      <c r="Q84" s="27"/>
      <c r="R84" s="27"/>
      <c r="S84" s="27"/>
      <c r="T84" s="29"/>
      <c r="U84" s="29"/>
      <c r="V84" s="29"/>
      <c r="W84" s="43"/>
      <c r="X84" s="19"/>
      <c r="Y84" s="19"/>
      <c r="Z84" s="19"/>
      <c r="AA84" s="19"/>
      <c r="AB84" s="19"/>
      <c r="AC84" s="19"/>
      <c r="AD84" s="19"/>
      <c r="AE84" s="19"/>
    </row>
    <row r="85" spans="1:31" s="8" customFormat="1" ht="29.25" customHeight="1" x14ac:dyDescent="0.2">
      <c r="A85" s="23" t="s">
        <v>130</v>
      </c>
      <c r="B85" s="54" t="s">
        <v>399</v>
      </c>
      <c r="C85" s="54" t="s">
        <v>593</v>
      </c>
      <c r="D85" s="22"/>
      <c r="E85" s="22"/>
      <c r="F85" s="30"/>
      <c r="G85" s="22"/>
      <c r="H85" s="21"/>
      <c r="I85" s="21"/>
      <c r="J85" s="31"/>
      <c r="K85" s="31"/>
      <c r="L85" s="22"/>
      <c r="M85" s="22"/>
      <c r="N85" s="22"/>
      <c r="O85" s="22"/>
      <c r="P85" s="22"/>
      <c r="Q85" s="27"/>
      <c r="R85" s="27"/>
      <c r="S85" s="27"/>
      <c r="T85" s="29"/>
      <c r="U85" s="29"/>
      <c r="V85" s="29"/>
      <c r="W85" s="43"/>
      <c r="X85" s="19"/>
      <c r="Y85" s="19"/>
      <c r="Z85" s="19"/>
      <c r="AA85" s="19"/>
      <c r="AB85" s="19"/>
      <c r="AC85" s="19"/>
      <c r="AD85" s="19"/>
      <c r="AE85" s="19"/>
    </row>
    <row r="86" spans="1:31" s="8" customFormat="1" ht="29.25" customHeight="1" x14ac:dyDescent="0.2">
      <c r="A86" s="23" t="s">
        <v>132</v>
      </c>
      <c r="B86" s="54" t="s">
        <v>401</v>
      </c>
      <c r="C86" s="54" t="s">
        <v>594</v>
      </c>
      <c r="D86" s="22"/>
      <c r="E86" s="22"/>
      <c r="F86" s="30"/>
      <c r="G86" s="22"/>
      <c r="H86" s="21"/>
      <c r="I86" s="21"/>
      <c r="J86" s="31"/>
      <c r="K86" s="31"/>
      <c r="L86" s="22"/>
      <c r="M86" s="22"/>
      <c r="N86" s="22"/>
      <c r="O86" s="22"/>
      <c r="P86" s="22"/>
      <c r="Q86" s="27"/>
      <c r="R86" s="27"/>
      <c r="S86" s="27"/>
      <c r="T86" s="29"/>
      <c r="U86" s="29"/>
      <c r="V86" s="29"/>
      <c r="W86" s="43"/>
      <c r="X86" s="19"/>
      <c r="Y86" s="19"/>
      <c r="Z86" s="19"/>
      <c r="AA86" s="19"/>
      <c r="AB86" s="19"/>
      <c r="AC86" s="19"/>
      <c r="AD86" s="19"/>
      <c r="AE86" s="19"/>
    </row>
    <row r="87" spans="1:31" s="8" customFormat="1" ht="29.25" customHeight="1" x14ac:dyDescent="0.2">
      <c r="A87" s="23" t="s">
        <v>131</v>
      </c>
      <c r="B87" s="54" t="s">
        <v>400</v>
      </c>
      <c r="C87" s="54" t="s">
        <v>571</v>
      </c>
      <c r="D87" s="22"/>
      <c r="E87" s="22"/>
      <c r="F87" s="30"/>
      <c r="G87" s="22"/>
      <c r="H87" s="21"/>
      <c r="I87" s="21"/>
      <c r="J87" s="31"/>
      <c r="K87" s="31"/>
      <c r="L87" s="22"/>
      <c r="M87" s="22"/>
      <c r="N87" s="22"/>
      <c r="O87" s="22"/>
      <c r="P87" s="22"/>
      <c r="Q87" s="27"/>
      <c r="R87" s="27"/>
      <c r="S87" s="27"/>
      <c r="T87" s="29"/>
      <c r="U87" s="29"/>
      <c r="V87" s="29"/>
      <c r="W87" s="43"/>
      <c r="X87" s="19"/>
      <c r="Y87" s="19"/>
      <c r="Z87" s="19"/>
      <c r="AA87" s="19"/>
      <c r="AB87" s="19"/>
      <c r="AC87" s="19"/>
      <c r="AD87" s="19"/>
      <c r="AE87" s="19"/>
    </row>
    <row r="88" spans="1:31" s="8" customFormat="1" ht="29.25" customHeight="1" x14ac:dyDescent="0.2">
      <c r="A88" s="23" t="s">
        <v>133</v>
      </c>
      <c r="B88" s="54" t="s">
        <v>402</v>
      </c>
      <c r="C88" s="54" t="s">
        <v>595</v>
      </c>
      <c r="D88" s="22"/>
      <c r="E88" s="22"/>
      <c r="F88" s="30"/>
      <c r="G88" s="22"/>
      <c r="H88" s="21"/>
      <c r="I88" s="21"/>
      <c r="J88" s="31"/>
      <c r="K88" s="31"/>
      <c r="L88" s="22"/>
      <c r="M88" s="22"/>
      <c r="N88" s="22"/>
      <c r="O88" s="22"/>
      <c r="P88" s="22"/>
      <c r="Q88" s="27"/>
      <c r="R88" s="27"/>
      <c r="S88" s="27"/>
      <c r="T88" s="29"/>
      <c r="U88" s="29"/>
      <c r="V88" s="29"/>
      <c r="W88" s="43"/>
      <c r="X88" s="19"/>
      <c r="Y88" s="19"/>
      <c r="Z88" s="19"/>
      <c r="AA88" s="19"/>
      <c r="AB88" s="19"/>
      <c r="AC88" s="19"/>
      <c r="AD88" s="19"/>
      <c r="AE88" s="19"/>
    </row>
    <row r="89" spans="1:31" s="8" customFormat="1" ht="29.25" customHeight="1" x14ac:dyDescent="0.2">
      <c r="A89" s="23" t="s">
        <v>134</v>
      </c>
      <c r="B89" s="54" t="s">
        <v>401</v>
      </c>
      <c r="C89" s="54" t="s">
        <v>594</v>
      </c>
      <c r="D89" s="22"/>
      <c r="E89" s="22"/>
      <c r="F89" s="30"/>
      <c r="G89" s="22"/>
      <c r="H89" s="21"/>
      <c r="I89" s="21"/>
      <c r="J89" s="31"/>
      <c r="K89" s="31"/>
      <c r="L89" s="22"/>
      <c r="M89" s="22"/>
      <c r="N89" s="22"/>
      <c r="O89" s="22"/>
      <c r="P89" s="22"/>
      <c r="Q89" s="27"/>
      <c r="R89" s="27"/>
      <c r="S89" s="27"/>
      <c r="T89" s="29"/>
      <c r="U89" s="29"/>
      <c r="V89" s="29"/>
      <c r="W89" s="43"/>
      <c r="X89" s="19"/>
      <c r="Y89" s="19"/>
      <c r="Z89" s="19"/>
      <c r="AA89" s="19"/>
      <c r="AB89" s="19"/>
      <c r="AC89" s="19"/>
      <c r="AD89" s="19"/>
      <c r="AE89" s="19"/>
    </row>
    <row r="90" spans="1:31" s="8" customFormat="1" ht="29.25" customHeight="1" x14ac:dyDescent="0.2">
      <c r="A90" s="14" t="s">
        <v>353</v>
      </c>
      <c r="B90" s="56" t="s">
        <v>353</v>
      </c>
      <c r="C90" s="54" t="s">
        <v>728</v>
      </c>
      <c r="D90" s="22"/>
      <c r="E90" s="22"/>
      <c r="F90" s="30"/>
      <c r="G90" s="22"/>
      <c r="H90" s="21"/>
      <c r="I90" s="21"/>
      <c r="J90" s="31"/>
      <c r="K90" s="31"/>
      <c r="L90" s="22"/>
      <c r="M90" s="22"/>
      <c r="N90" s="22"/>
      <c r="O90" s="22"/>
      <c r="P90" s="22"/>
      <c r="Q90" s="27"/>
      <c r="R90" s="27"/>
      <c r="S90" s="27"/>
      <c r="T90" s="29"/>
      <c r="U90" s="29"/>
      <c r="V90" s="29"/>
      <c r="W90" s="43"/>
      <c r="X90" s="19"/>
      <c r="Y90" s="19"/>
      <c r="Z90" s="19"/>
      <c r="AA90" s="19"/>
      <c r="AB90" s="19"/>
      <c r="AC90" s="19"/>
      <c r="AD90" s="19"/>
      <c r="AE90" s="19"/>
    </row>
    <row r="91" spans="1:31" s="8" customFormat="1" ht="29.25" customHeight="1" x14ac:dyDescent="0.2">
      <c r="A91" s="14" t="s">
        <v>307</v>
      </c>
      <c r="B91" s="57" t="s">
        <v>77</v>
      </c>
      <c r="C91" s="54"/>
      <c r="D91" s="22"/>
      <c r="E91" s="22"/>
      <c r="F91" s="30"/>
      <c r="G91" s="22"/>
      <c r="H91" s="21"/>
      <c r="I91" s="21"/>
      <c r="J91" s="31"/>
      <c r="K91" s="31"/>
      <c r="L91" s="22"/>
      <c r="M91" s="22"/>
      <c r="N91" s="22"/>
      <c r="O91" s="22"/>
      <c r="P91" s="22"/>
      <c r="Q91" s="27"/>
      <c r="R91" s="27"/>
      <c r="S91" s="27"/>
      <c r="T91" s="29"/>
      <c r="U91" s="29"/>
      <c r="V91" s="29"/>
      <c r="W91" s="43"/>
      <c r="X91" s="19"/>
      <c r="Y91" s="19"/>
      <c r="Z91" s="19"/>
      <c r="AA91" s="19"/>
      <c r="AB91" s="19"/>
      <c r="AC91" s="19"/>
      <c r="AD91" s="19"/>
      <c r="AE91" s="19"/>
    </row>
    <row r="92" spans="1:31" s="8" customFormat="1" ht="29.25" customHeight="1" x14ac:dyDescent="0.2">
      <c r="A92" s="22" t="s">
        <v>222</v>
      </c>
      <c r="B92" s="55" t="s">
        <v>460</v>
      </c>
      <c r="C92" s="65" t="s">
        <v>640</v>
      </c>
      <c r="D92" s="22"/>
      <c r="E92" s="22"/>
      <c r="F92" s="30"/>
      <c r="G92" s="22"/>
      <c r="H92" s="21"/>
      <c r="I92" s="21"/>
      <c r="J92" s="31"/>
      <c r="K92" s="31"/>
      <c r="L92" s="22"/>
      <c r="M92" s="22"/>
      <c r="N92" s="22"/>
      <c r="O92" s="22"/>
      <c r="P92" s="22"/>
      <c r="Q92" s="27"/>
      <c r="R92" s="27"/>
      <c r="S92" s="27"/>
      <c r="T92" s="29"/>
      <c r="U92" s="29"/>
      <c r="V92" s="29"/>
      <c r="W92" s="43"/>
      <c r="X92" s="19"/>
      <c r="Y92" s="19"/>
      <c r="Z92" s="19"/>
      <c r="AA92" s="19"/>
      <c r="AB92" s="19"/>
      <c r="AC92" s="19"/>
      <c r="AD92" s="19"/>
      <c r="AE92" s="19"/>
    </row>
    <row r="93" spans="1:31" s="8" customFormat="1" ht="29.25" customHeight="1" x14ac:dyDescent="0.2">
      <c r="A93" s="22" t="s">
        <v>218</v>
      </c>
      <c r="B93" s="54" t="s">
        <v>458</v>
      </c>
      <c r="C93" s="54" t="s">
        <v>577</v>
      </c>
      <c r="D93" s="22"/>
      <c r="E93" s="22"/>
      <c r="F93" s="30"/>
      <c r="G93" s="22"/>
      <c r="H93" s="21"/>
      <c r="I93" s="21"/>
      <c r="J93" s="31"/>
      <c r="K93" s="31"/>
      <c r="L93" s="22"/>
      <c r="M93" s="22"/>
      <c r="N93" s="22"/>
      <c r="O93" s="22"/>
      <c r="P93" s="22"/>
      <c r="Q93" s="27"/>
      <c r="R93" s="27"/>
      <c r="S93" s="27"/>
      <c r="T93" s="29"/>
      <c r="U93" s="29"/>
      <c r="V93" s="29"/>
      <c r="W93" s="43"/>
      <c r="X93" s="41"/>
      <c r="Y93" s="41"/>
      <c r="Z93" s="41"/>
      <c r="AA93" s="41"/>
      <c r="AB93" s="41"/>
      <c r="AC93" s="41"/>
      <c r="AD93" s="41"/>
      <c r="AE93" s="41"/>
    </row>
    <row r="94" spans="1:31" s="8" customFormat="1" ht="29.25" customHeight="1" x14ac:dyDescent="0.2">
      <c r="A94" s="23" t="s">
        <v>137</v>
      </c>
      <c r="B94" s="54" t="s">
        <v>405</v>
      </c>
      <c r="C94" s="54" t="s">
        <v>598</v>
      </c>
      <c r="D94" s="22"/>
      <c r="E94" s="22"/>
      <c r="F94" s="30"/>
      <c r="G94" s="22"/>
      <c r="H94" s="21"/>
      <c r="I94" s="21"/>
      <c r="J94" s="31"/>
      <c r="K94" s="31"/>
      <c r="L94" s="22"/>
      <c r="M94" s="22"/>
      <c r="N94" s="22"/>
      <c r="O94" s="22"/>
      <c r="P94" s="22"/>
      <c r="Q94" s="27"/>
      <c r="R94" s="27"/>
      <c r="S94" s="27"/>
      <c r="T94" s="29"/>
      <c r="U94" s="29"/>
      <c r="V94" s="29"/>
      <c r="W94" s="43"/>
      <c r="X94" s="41"/>
      <c r="Y94" s="41"/>
      <c r="Z94" s="41"/>
      <c r="AA94" s="41"/>
      <c r="AB94" s="41"/>
      <c r="AC94" s="41"/>
      <c r="AD94" s="41"/>
      <c r="AE94" s="41"/>
    </row>
    <row r="95" spans="1:31" s="8" customFormat="1" ht="29.25" customHeight="1" x14ac:dyDescent="0.2">
      <c r="A95" s="22" t="s">
        <v>158</v>
      </c>
      <c r="B95" s="54" t="s">
        <v>401</v>
      </c>
      <c r="C95" s="54" t="s">
        <v>594</v>
      </c>
      <c r="D95" s="22"/>
      <c r="E95" s="22"/>
      <c r="F95" s="30"/>
      <c r="G95" s="22"/>
      <c r="H95" s="21"/>
      <c r="I95" s="21"/>
      <c r="J95" s="31"/>
      <c r="K95" s="31"/>
      <c r="L95" s="22"/>
      <c r="M95" s="22"/>
      <c r="N95" s="22"/>
      <c r="O95" s="22"/>
      <c r="P95" s="22"/>
      <c r="Q95" s="27"/>
      <c r="R95" s="27"/>
      <c r="S95" s="27"/>
      <c r="T95" s="29"/>
      <c r="U95" s="29"/>
      <c r="V95" s="29"/>
      <c r="W95" s="43"/>
      <c r="X95" s="41"/>
      <c r="Y95" s="41"/>
      <c r="Z95" s="41"/>
      <c r="AA95" s="41"/>
      <c r="AB95" s="41"/>
      <c r="AC95" s="41"/>
      <c r="AD95" s="41"/>
      <c r="AE95" s="41"/>
    </row>
    <row r="96" spans="1:31" s="8" customFormat="1" ht="29.25" customHeight="1" x14ac:dyDescent="0.2">
      <c r="A96" s="22" t="s">
        <v>155</v>
      </c>
      <c r="B96" s="54" t="s">
        <v>413</v>
      </c>
      <c r="C96" s="54" t="s">
        <v>603</v>
      </c>
      <c r="D96" s="22"/>
      <c r="E96" s="22"/>
      <c r="F96" s="30"/>
      <c r="G96" s="22"/>
      <c r="H96" s="21"/>
      <c r="I96" s="21"/>
      <c r="J96" s="31"/>
      <c r="K96" s="31"/>
      <c r="L96" s="22"/>
      <c r="M96" s="22"/>
      <c r="N96" s="22"/>
      <c r="O96" s="22"/>
      <c r="P96" s="22"/>
      <c r="Q96" s="27"/>
      <c r="R96" s="27"/>
      <c r="S96" s="27"/>
      <c r="T96" s="29"/>
      <c r="U96" s="29"/>
      <c r="V96" s="29"/>
      <c r="W96" s="43"/>
      <c r="X96" s="19"/>
      <c r="Y96" s="19"/>
      <c r="Z96" s="19"/>
      <c r="AA96" s="19"/>
      <c r="AB96" s="19"/>
      <c r="AC96" s="19"/>
      <c r="AD96" s="19"/>
      <c r="AE96" s="19"/>
    </row>
    <row r="97" spans="1:31" s="8" customFormat="1" ht="29.25" customHeight="1" x14ac:dyDescent="0.2">
      <c r="A97" s="22" t="s">
        <v>156</v>
      </c>
      <c r="B97" s="54" t="s">
        <v>414</v>
      </c>
      <c r="C97" s="54" t="s">
        <v>604</v>
      </c>
      <c r="D97" s="22"/>
      <c r="E97" s="22"/>
      <c r="F97" s="30"/>
      <c r="G97" s="22"/>
      <c r="H97" s="21"/>
      <c r="I97" s="21"/>
      <c r="J97" s="31"/>
      <c r="K97" s="31"/>
      <c r="L97" s="22"/>
      <c r="M97" s="22"/>
      <c r="N97" s="22"/>
      <c r="O97" s="22"/>
      <c r="P97" s="22"/>
      <c r="Q97" s="27"/>
      <c r="R97" s="27"/>
      <c r="S97" s="27"/>
      <c r="T97" s="29"/>
      <c r="U97" s="29"/>
      <c r="V97" s="29"/>
      <c r="W97" s="43"/>
      <c r="X97" s="19"/>
      <c r="Y97" s="19"/>
      <c r="Z97" s="19"/>
      <c r="AA97" s="19"/>
      <c r="AB97" s="19"/>
      <c r="AC97" s="19"/>
      <c r="AD97" s="19"/>
      <c r="AE97" s="19"/>
    </row>
    <row r="98" spans="1:31" s="8" customFormat="1" ht="29.25" customHeight="1" x14ac:dyDescent="0.2">
      <c r="A98" s="23" t="s">
        <v>138</v>
      </c>
      <c r="B98" s="54" t="s">
        <v>401</v>
      </c>
      <c r="C98" s="54" t="s">
        <v>594</v>
      </c>
      <c r="D98" s="22"/>
      <c r="E98" s="22"/>
      <c r="F98" s="30"/>
      <c r="G98" s="22"/>
      <c r="H98" s="21"/>
      <c r="I98" s="21"/>
      <c r="J98" s="31"/>
      <c r="K98" s="31"/>
      <c r="L98" s="22"/>
      <c r="M98" s="22"/>
      <c r="N98" s="22"/>
      <c r="O98" s="22"/>
      <c r="P98" s="22"/>
      <c r="Q98" s="27"/>
      <c r="R98" s="27"/>
      <c r="S98" s="27"/>
      <c r="T98" s="29"/>
      <c r="U98" s="29"/>
      <c r="V98" s="29"/>
      <c r="W98" s="43"/>
      <c r="X98" s="19"/>
      <c r="Y98" s="19"/>
      <c r="Z98" s="19"/>
      <c r="AA98" s="19"/>
      <c r="AB98" s="19"/>
      <c r="AC98" s="19"/>
      <c r="AD98" s="19"/>
      <c r="AE98" s="19"/>
    </row>
    <row r="99" spans="1:31" s="8" customFormat="1" ht="29.25" customHeight="1" x14ac:dyDescent="0.2">
      <c r="A99" s="22" t="s">
        <v>138</v>
      </c>
      <c r="B99" s="54" t="s">
        <v>401</v>
      </c>
      <c r="C99" s="54" t="s">
        <v>594</v>
      </c>
      <c r="D99" s="22"/>
      <c r="E99" s="22"/>
      <c r="F99" s="30"/>
      <c r="G99" s="22"/>
      <c r="H99" s="21"/>
      <c r="I99" s="21"/>
      <c r="J99" s="31"/>
      <c r="K99" s="31"/>
      <c r="L99" s="22"/>
      <c r="M99" s="22"/>
      <c r="N99" s="22"/>
      <c r="O99" s="22"/>
      <c r="P99" s="22"/>
      <c r="Q99" s="27"/>
      <c r="R99" s="27"/>
      <c r="S99" s="27"/>
      <c r="T99" s="29"/>
      <c r="U99" s="29"/>
      <c r="V99" s="29"/>
      <c r="W99" s="43"/>
      <c r="X99" s="19"/>
      <c r="Y99" s="19"/>
      <c r="Z99" s="19"/>
      <c r="AA99" s="19"/>
      <c r="AB99" s="19"/>
      <c r="AC99" s="19"/>
      <c r="AD99" s="19"/>
      <c r="AE99" s="19"/>
    </row>
    <row r="100" spans="1:31" s="8" customFormat="1" ht="29.25" customHeight="1" x14ac:dyDescent="0.2">
      <c r="A100" s="22" t="s">
        <v>138</v>
      </c>
      <c r="B100" s="54" t="s">
        <v>415</v>
      </c>
      <c r="C100" s="54" t="s">
        <v>604</v>
      </c>
      <c r="D100" s="22"/>
      <c r="E100" s="22"/>
      <c r="F100" s="30"/>
      <c r="G100" s="22"/>
      <c r="H100" s="21"/>
      <c r="I100" s="21"/>
      <c r="J100" s="31"/>
      <c r="K100" s="31"/>
      <c r="L100" s="22"/>
      <c r="M100" s="22"/>
      <c r="N100" s="22"/>
      <c r="O100" s="22"/>
      <c r="P100" s="22"/>
      <c r="Q100" s="27"/>
      <c r="R100" s="27"/>
      <c r="S100" s="27"/>
      <c r="T100" s="29"/>
      <c r="U100" s="29"/>
      <c r="V100" s="29"/>
      <c r="W100" s="43"/>
      <c r="X100" s="19"/>
      <c r="Y100" s="19"/>
      <c r="Z100" s="19"/>
      <c r="AA100" s="19"/>
      <c r="AB100" s="19"/>
      <c r="AC100" s="19"/>
      <c r="AD100" s="19"/>
      <c r="AE100" s="19"/>
    </row>
    <row r="101" spans="1:31" s="8" customFormat="1" ht="29.25" customHeight="1" x14ac:dyDescent="0.2">
      <c r="A101" s="22" t="s">
        <v>154</v>
      </c>
      <c r="B101" s="54" t="s">
        <v>409</v>
      </c>
      <c r="C101" s="54" t="s">
        <v>594</v>
      </c>
      <c r="D101" s="22"/>
      <c r="E101" s="22"/>
      <c r="F101" s="30"/>
      <c r="G101" s="22"/>
      <c r="H101" s="21"/>
      <c r="I101" s="21"/>
      <c r="J101" s="31"/>
      <c r="K101" s="31"/>
      <c r="L101" s="22"/>
      <c r="M101" s="22"/>
      <c r="N101" s="22"/>
      <c r="O101" s="22"/>
      <c r="P101" s="22"/>
      <c r="Q101" s="27"/>
      <c r="R101" s="27"/>
      <c r="S101" s="27"/>
      <c r="T101" s="29"/>
      <c r="U101" s="29"/>
      <c r="V101" s="29"/>
      <c r="W101" s="43"/>
      <c r="X101" s="19"/>
      <c r="Y101" s="19"/>
      <c r="Z101" s="19"/>
      <c r="AA101" s="19"/>
      <c r="AB101" s="19"/>
      <c r="AC101" s="19"/>
      <c r="AD101" s="19"/>
      <c r="AE101" s="19"/>
    </row>
    <row r="102" spans="1:31" s="8" customFormat="1" ht="29.25" customHeight="1" x14ac:dyDescent="0.2">
      <c r="A102" s="22" t="s">
        <v>157</v>
      </c>
      <c r="B102" s="54" t="s">
        <v>415</v>
      </c>
      <c r="C102" s="54" t="s">
        <v>604</v>
      </c>
      <c r="D102" s="22"/>
      <c r="E102" s="22"/>
      <c r="F102" s="30"/>
      <c r="G102" s="22"/>
      <c r="H102" s="21"/>
      <c r="I102" s="21"/>
      <c r="J102" s="31"/>
      <c r="K102" s="31"/>
      <c r="L102" s="22"/>
      <c r="M102" s="22"/>
      <c r="N102" s="22"/>
      <c r="O102" s="22"/>
      <c r="P102" s="22"/>
      <c r="Q102" s="27"/>
      <c r="R102" s="27"/>
      <c r="S102" s="27"/>
      <c r="T102" s="29"/>
      <c r="U102" s="29"/>
      <c r="V102" s="29"/>
      <c r="W102" s="43"/>
      <c r="X102" s="19"/>
      <c r="Y102" s="19"/>
      <c r="Z102" s="19"/>
      <c r="AA102" s="19"/>
      <c r="AB102" s="19"/>
      <c r="AC102" s="19"/>
      <c r="AD102" s="19"/>
      <c r="AE102" s="19"/>
    </row>
    <row r="103" spans="1:31" s="8" customFormat="1" ht="29.25" customHeight="1" x14ac:dyDescent="0.2">
      <c r="A103" s="23" t="s">
        <v>141</v>
      </c>
      <c r="B103" s="54" t="s">
        <v>408</v>
      </c>
      <c r="C103" s="54" t="s">
        <v>601</v>
      </c>
      <c r="D103" s="22"/>
      <c r="E103" s="22"/>
      <c r="F103" s="30"/>
      <c r="G103" s="22"/>
      <c r="H103" s="21"/>
      <c r="I103" s="21"/>
      <c r="J103" s="31"/>
      <c r="K103" s="31"/>
      <c r="L103" s="22"/>
      <c r="M103" s="22"/>
      <c r="N103" s="22"/>
      <c r="O103" s="22"/>
      <c r="P103" s="22"/>
      <c r="Q103" s="27"/>
      <c r="R103" s="27"/>
      <c r="S103" s="27"/>
      <c r="T103" s="29"/>
      <c r="U103" s="29"/>
      <c r="V103" s="29"/>
      <c r="W103" s="43"/>
      <c r="X103" s="19"/>
      <c r="Y103" s="19"/>
      <c r="Z103" s="19"/>
      <c r="AA103" s="19"/>
      <c r="AB103" s="19"/>
      <c r="AC103" s="19"/>
      <c r="AD103" s="19"/>
      <c r="AE103" s="19"/>
    </row>
    <row r="104" spans="1:31" s="8" customFormat="1" ht="29.25" customHeight="1" x14ac:dyDescent="0.2">
      <c r="A104" s="23" t="s">
        <v>139</v>
      </c>
      <c r="B104" s="54" t="s">
        <v>406</v>
      </c>
      <c r="C104" s="54" t="s">
        <v>599</v>
      </c>
      <c r="D104" s="22"/>
      <c r="E104" s="22"/>
      <c r="F104" s="30"/>
      <c r="G104" s="22"/>
      <c r="H104" s="21"/>
      <c r="I104" s="21"/>
      <c r="J104" s="31"/>
      <c r="K104" s="31"/>
      <c r="L104" s="22"/>
      <c r="M104" s="22"/>
      <c r="N104" s="22"/>
      <c r="O104" s="22"/>
      <c r="P104" s="22"/>
      <c r="Q104" s="27"/>
      <c r="R104" s="27"/>
      <c r="S104" s="27"/>
      <c r="T104" s="29"/>
      <c r="U104" s="29"/>
      <c r="V104" s="29"/>
      <c r="W104" s="43"/>
      <c r="X104" s="19"/>
      <c r="Y104" s="19"/>
      <c r="Z104" s="19"/>
      <c r="AA104" s="19"/>
      <c r="AB104" s="19"/>
      <c r="AC104" s="19"/>
      <c r="AD104" s="19"/>
      <c r="AE104" s="19"/>
    </row>
    <row r="105" spans="1:31" s="8" customFormat="1" ht="29.25" customHeight="1" x14ac:dyDescent="0.2">
      <c r="A105" s="14" t="s">
        <v>239</v>
      </c>
      <c r="B105" s="55" t="s">
        <v>469</v>
      </c>
      <c r="C105" s="54" t="s">
        <v>650</v>
      </c>
      <c r="D105" s="22"/>
      <c r="E105" s="22"/>
      <c r="F105" s="30"/>
      <c r="G105" s="22"/>
      <c r="H105" s="21"/>
      <c r="I105" s="21"/>
      <c r="J105" s="31"/>
      <c r="K105" s="31"/>
      <c r="L105" s="22"/>
      <c r="M105" s="22"/>
      <c r="N105" s="22"/>
      <c r="O105" s="22"/>
      <c r="P105" s="22"/>
      <c r="Q105" s="27"/>
      <c r="R105" s="27"/>
      <c r="S105" s="27"/>
      <c r="T105" s="29"/>
      <c r="U105" s="29"/>
      <c r="V105" s="29"/>
      <c r="W105" s="43"/>
      <c r="X105" s="19"/>
      <c r="Y105" s="19"/>
      <c r="Z105" s="19"/>
      <c r="AA105" s="19"/>
      <c r="AB105" s="19"/>
      <c r="AC105" s="19"/>
      <c r="AD105" s="19"/>
      <c r="AE105" s="19"/>
    </row>
    <row r="106" spans="1:31" s="8" customFormat="1" ht="29.25" customHeight="1" x14ac:dyDescent="0.2">
      <c r="A106" s="23" t="s">
        <v>105</v>
      </c>
      <c r="B106" s="69" t="s">
        <v>382</v>
      </c>
      <c r="C106" s="59" t="s">
        <v>579</v>
      </c>
      <c r="D106" s="22"/>
      <c r="E106" s="22"/>
      <c r="F106" s="30"/>
      <c r="G106" s="22"/>
      <c r="H106" s="21"/>
      <c r="I106" s="21"/>
      <c r="J106" s="31"/>
      <c r="K106" s="31"/>
      <c r="L106" s="22"/>
      <c r="M106" s="22"/>
      <c r="N106" s="22"/>
      <c r="O106" s="22"/>
      <c r="P106" s="22"/>
      <c r="Q106" s="27"/>
      <c r="R106" s="27"/>
      <c r="S106" s="27"/>
      <c r="T106" s="29"/>
      <c r="U106" s="29"/>
      <c r="V106" s="29"/>
      <c r="W106" s="43"/>
      <c r="X106" s="19"/>
      <c r="Y106" s="19"/>
      <c r="Z106" s="19"/>
      <c r="AA106" s="19"/>
      <c r="AB106" s="19"/>
      <c r="AC106" s="19"/>
      <c r="AD106" s="19"/>
      <c r="AE106" s="19"/>
    </row>
    <row r="107" spans="1:31" s="8" customFormat="1" ht="29.25" customHeight="1" x14ac:dyDescent="0.2">
      <c r="A107" s="22" t="s">
        <v>202</v>
      </c>
      <c r="B107" s="54" t="s">
        <v>443</v>
      </c>
      <c r="C107" s="54" t="s">
        <v>628</v>
      </c>
      <c r="D107" s="22"/>
      <c r="E107" s="22"/>
      <c r="F107" s="30"/>
      <c r="G107" s="22"/>
      <c r="H107" s="21"/>
      <c r="I107" s="21"/>
      <c r="J107" s="31"/>
      <c r="K107" s="31"/>
      <c r="L107" s="22"/>
      <c r="M107" s="22"/>
      <c r="N107" s="22"/>
      <c r="O107" s="22"/>
      <c r="P107" s="22"/>
      <c r="Q107" s="27"/>
      <c r="R107" s="27"/>
      <c r="S107" s="27"/>
      <c r="T107" s="29"/>
      <c r="U107" s="29"/>
      <c r="V107" s="29"/>
      <c r="W107" s="43"/>
      <c r="X107" s="19"/>
      <c r="Y107" s="19"/>
      <c r="Z107" s="19"/>
      <c r="AA107" s="19"/>
      <c r="AB107" s="19"/>
      <c r="AC107" s="19"/>
      <c r="AD107" s="19"/>
      <c r="AE107" s="19"/>
    </row>
    <row r="108" spans="1:31" s="8" customFormat="1" ht="29.25" customHeight="1" x14ac:dyDescent="0.2">
      <c r="A108" s="14" t="s">
        <v>356</v>
      </c>
      <c r="B108" s="56" t="s">
        <v>441</v>
      </c>
      <c r="C108" s="54"/>
      <c r="D108" s="22"/>
      <c r="E108" s="22"/>
      <c r="F108" s="30"/>
      <c r="G108" s="22"/>
      <c r="H108" s="21"/>
      <c r="I108" s="21"/>
      <c r="J108" s="31"/>
      <c r="K108" s="31"/>
      <c r="L108" s="22"/>
      <c r="M108" s="22"/>
      <c r="N108" s="22"/>
      <c r="O108" s="22"/>
      <c r="P108" s="22"/>
      <c r="Q108" s="27"/>
      <c r="R108" s="27"/>
      <c r="S108" s="27"/>
      <c r="T108" s="29"/>
      <c r="U108" s="29"/>
      <c r="V108" s="29"/>
      <c r="W108" s="43"/>
      <c r="X108" s="19"/>
      <c r="Y108" s="19"/>
      <c r="Z108" s="19"/>
      <c r="AA108" s="19"/>
      <c r="AB108" s="19"/>
      <c r="AC108" s="19"/>
      <c r="AD108" s="19"/>
      <c r="AE108" s="19"/>
    </row>
    <row r="109" spans="1:31" s="8" customFormat="1" ht="29.25" customHeight="1" x14ac:dyDescent="0.2">
      <c r="A109" s="22" t="s">
        <v>198</v>
      </c>
      <c r="B109" s="56" t="s">
        <v>441</v>
      </c>
      <c r="C109" s="65"/>
      <c r="D109" s="22"/>
      <c r="E109" s="22"/>
      <c r="F109" s="30"/>
      <c r="G109" s="22"/>
      <c r="H109" s="21"/>
      <c r="I109" s="21"/>
      <c r="J109" s="31"/>
      <c r="K109" s="31"/>
      <c r="L109" s="22"/>
      <c r="M109" s="22"/>
      <c r="N109" s="22"/>
      <c r="O109" s="22"/>
      <c r="P109" s="22"/>
      <c r="Q109" s="27"/>
      <c r="R109" s="27"/>
      <c r="S109" s="27"/>
      <c r="T109" s="29"/>
      <c r="U109" s="29"/>
      <c r="V109" s="29"/>
      <c r="W109" s="43"/>
      <c r="X109" s="19"/>
      <c r="Y109" s="19"/>
      <c r="Z109" s="19"/>
      <c r="AA109" s="19"/>
      <c r="AB109" s="19"/>
      <c r="AC109" s="19"/>
      <c r="AD109" s="19"/>
      <c r="AE109" s="19"/>
    </row>
    <row r="110" spans="1:31" s="8" customFormat="1" ht="29.25" customHeight="1" x14ac:dyDescent="0.2">
      <c r="A110" s="22" t="s">
        <v>199</v>
      </c>
      <c r="B110" s="57" t="s">
        <v>199</v>
      </c>
      <c r="C110" s="59" t="s">
        <v>626</v>
      </c>
      <c r="D110" s="22"/>
      <c r="E110" s="22"/>
      <c r="F110" s="30"/>
      <c r="G110" s="22"/>
      <c r="H110" s="21"/>
      <c r="I110" s="21"/>
      <c r="J110" s="31"/>
      <c r="K110" s="31"/>
      <c r="L110" s="22"/>
      <c r="M110" s="22"/>
      <c r="N110" s="22"/>
      <c r="O110" s="22"/>
      <c r="P110" s="22"/>
      <c r="Q110" s="27"/>
      <c r="R110" s="27"/>
      <c r="S110" s="27"/>
      <c r="T110" s="29"/>
      <c r="U110" s="29"/>
      <c r="V110" s="29"/>
      <c r="W110" s="43"/>
      <c r="X110" s="19"/>
      <c r="Y110" s="19"/>
      <c r="Z110" s="19"/>
      <c r="AA110" s="19"/>
      <c r="AB110" s="19"/>
      <c r="AC110" s="19"/>
      <c r="AD110" s="19"/>
      <c r="AE110" s="19"/>
    </row>
    <row r="111" spans="1:31" s="8" customFormat="1" ht="29.25" customHeight="1" x14ac:dyDescent="0.2">
      <c r="A111" s="22" t="s">
        <v>211</v>
      </c>
      <c r="B111" s="54" t="s">
        <v>451</v>
      </c>
      <c r="C111" s="54" t="s">
        <v>634</v>
      </c>
      <c r="D111" s="22"/>
      <c r="E111" s="22"/>
      <c r="F111" s="30"/>
      <c r="G111" s="22"/>
      <c r="H111" s="21"/>
      <c r="I111" s="21"/>
      <c r="J111" s="31"/>
      <c r="K111" s="31"/>
      <c r="L111" s="22"/>
      <c r="M111" s="22"/>
      <c r="N111" s="22"/>
      <c r="O111" s="22"/>
      <c r="P111" s="22"/>
      <c r="Q111" s="27"/>
      <c r="R111" s="27"/>
      <c r="S111" s="27"/>
      <c r="T111" s="29"/>
      <c r="U111" s="29"/>
      <c r="V111" s="29"/>
      <c r="W111" s="43"/>
      <c r="X111" s="19"/>
      <c r="Y111" s="19"/>
      <c r="Z111" s="19"/>
      <c r="AA111" s="19"/>
      <c r="AB111" s="19"/>
      <c r="AC111" s="19"/>
      <c r="AD111" s="19"/>
      <c r="AE111" s="19"/>
    </row>
    <row r="112" spans="1:31" s="8" customFormat="1" ht="29.25" customHeight="1" x14ac:dyDescent="0.2">
      <c r="A112" s="14" t="s">
        <v>300</v>
      </c>
      <c r="B112" s="57" t="s">
        <v>77</v>
      </c>
      <c r="C112" s="54"/>
      <c r="D112" s="22"/>
      <c r="E112" s="22"/>
      <c r="F112" s="30"/>
      <c r="G112" s="22"/>
      <c r="H112" s="21"/>
      <c r="I112" s="21"/>
      <c r="J112" s="31"/>
      <c r="K112" s="31"/>
      <c r="L112" s="22"/>
      <c r="M112" s="22"/>
      <c r="N112" s="22"/>
      <c r="O112" s="22"/>
      <c r="P112" s="22"/>
      <c r="Q112" s="27"/>
      <c r="R112" s="27"/>
      <c r="S112" s="27"/>
      <c r="T112" s="29"/>
      <c r="U112" s="29"/>
      <c r="V112" s="29"/>
      <c r="W112" s="43"/>
      <c r="X112" s="19"/>
      <c r="Y112" s="19"/>
      <c r="Z112" s="19"/>
      <c r="AA112" s="19"/>
      <c r="AB112" s="19"/>
      <c r="AC112" s="19"/>
      <c r="AD112" s="19"/>
      <c r="AE112" s="19"/>
    </row>
    <row r="113" spans="1:31" s="8" customFormat="1" ht="29.25" customHeight="1" x14ac:dyDescent="0.2">
      <c r="A113" s="23" t="s">
        <v>140</v>
      </c>
      <c r="B113" s="54" t="s">
        <v>407</v>
      </c>
      <c r="C113" s="54" t="s">
        <v>600</v>
      </c>
      <c r="D113" s="22"/>
      <c r="E113" s="22"/>
      <c r="F113" s="30"/>
      <c r="G113" s="22"/>
      <c r="H113" s="21"/>
      <c r="I113" s="21"/>
      <c r="J113" s="31"/>
      <c r="K113" s="31"/>
      <c r="L113" s="22"/>
      <c r="M113" s="22"/>
      <c r="N113" s="22"/>
      <c r="O113" s="22"/>
      <c r="P113" s="22"/>
      <c r="Q113" s="27"/>
      <c r="R113" s="27"/>
      <c r="S113" s="27"/>
      <c r="T113" s="29"/>
      <c r="U113" s="29"/>
      <c r="V113" s="29"/>
      <c r="W113" s="43"/>
      <c r="X113" s="19"/>
      <c r="Y113" s="19"/>
      <c r="Z113" s="19"/>
      <c r="AA113" s="19"/>
      <c r="AB113" s="19"/>
      <c r="AC113" s="19"/>
      <c r="AD113" s="19"/>
      <c r="AE113" s="19"/>
    </row>
    <row r="114" spans="1:31" s="8" customFormat="1" ht="29.25" customHeight="1" x14ac:dyDescent="0.2">
      <c r="A114" s="22" t="s">
        <v>220</v>
      </c>
      <c r="B114" s="55" t="s">
        <v>460</v>
      </c>
      <c r="C114" s="65" t="s">
        <v>640</v>
      </c>
      <c r="D114" s="22"/>
      <c r="E114" s="22"/>
      <c r="F114" s="30"/>
      <c r="G114" s="22"/>
      <c r="H114" s="21"/>
      <c r="I114" s="21"/>
      <c r="J114" s="31"/>
      <c r="K114" s="31"/>
      <c r="L114" s="22"/>
      <c r="M114" s="22"/>
      <c r="N114" s="22"/>
      <c r="O114" s="22"/>
      <c r="P114" s="22"/>
      <c r="Q114" s="27"/>
      <c r="R114" s="27"/>
      <c r="S114" s="27"/>
      <c r="T114" s="29"/>
      <c r="U114" s="29"/>
      <c r="V114" s="29"/>
      <c r="W114" s="43"/>
      <c r="X114" s="19"/>
      <c r="Y114" s="19"/>
      <c r="Z114" s="19"/>
      <c r="AA114" s="19"/>
      <c r="AB114" s="19"/>
      <c r="AC114" s="19"/>
      <c r="AD114" s="19"/>
      <c r="AE114" s="19"/>
    </row>
    <row r="115" spans="1:31" s="8" customFormat="1" ht="29.25" customHeight="1" x14ac:dyDescent="0.2">
      <c r="A115" s="22" t="s">
        <v>221</v>
      </c>
      <c r="B115" s="55" t="s">
        <v>461</v>
      </c>
      <c r="C115" s="54" t="s">
        <v>641</v>
      </c>
      <c r="D115" s="22"/>
      <c r="E115" s="22"/>
      <c r="F115" s="30"/>
      <c r="G115" s="22"/>
      <c r="H115" s="21"/>
      <c r="I115" s="21"/>
      <c r="J115" s="31"/>
      <c r="K115" s="31"/>
      <c r="L115" s="22"/>
      <c r="M115" s="22"/>
      <c r="N115" s="22"/>
      <c r="O115" s="22"/>
      <c r="P115" s="22"/>
      <c r="Q115" s="27"/>
      <c r="R115" s="27"/>
      <c r="S115" s="27"/>
      <c r="T115" s="29"/>
      <c r="U115" s="29"/>
      <c r="V115" s="29"/>
      <c r="W115" s="43"/>
      <c r="X115" s="19"/>
      <c r="Y115" s="19"/>
      <c r="Z115" s="19"/>
      <c r="AA115" s="19"/>
      <c r="AB115" s="19"/>
      <c r="AC115" s="19"/>
      <c r="AD115" s="19"/>
      <c r="AE115" s="19"/>
    </row>
    <row r="116" spans="1:31" s="8" customFormat="1" ht="29.25" customHeight="1" x14ac:dyDescent="0.2">
      <c r="A116" s="14" t="s">
        <v>291</v>
      </c>
      <c r="B116" s="54" t="s">
        <v>515</v>
      </c>
      <c r="C116" s="54" t="s">
        <v>689</v>
      </c>
      <c r="D116" s="22"/>
      <c r="E116" s="22"/>
      <c r="F116" s="30"/>
      <c r="G116" s="22"/>
      <c r="H116" s="21"/>
      <c r="I116" s="21"/>
      <c r="J116" s="31"/>
      <c r="K116" s="31"/>
      <c r="L116" s="22"/>
      <c r="M116" s="22"/>
      <c r="N116" s="22"/>
      <c r="O116" s="22"/>
      <c r="P116" s="22"/>
      <c r="Q116" s="27"/>
      <c r="R116" s="27"/>
      <c r="S116" s="27"/>
      <c r="T116" s="29"/>
      <c r="U116" s="29"/>
      <c r="V116" s="29"/>
      <c r="W116" s="43"/>
      <c r="X116" s="19"/>
      <c r="Y116" s="19"/>
      <c r="Z116" s="19"/>
      <c r="AA116" s="19"/>
      <c r="AB116" s="19"/>
      <c r="AC116" s="19"/>
      <c r="AD116" s="19"/>
      <c r="AE116" s="19"/>
    </row>
    <row r="117" spans="1:31" s="8" customFormat="1" ht="29.25" customHeight="1" x14ac:dyDescent="0.2">
      <c r="A117" s="22" t="s">
        <v>164</v>
      </c>
      <c r="B117" s="54" t="s">
        <v>421</v>
      </c>
      <c r="C117" s="59"/>
      <c r="D117" s="22"/>
      <c r="E117" s="22"/>
      <c r="F117" s="30"/>
      <c r="G117" s="22"/>
      <c r="H117" s="21"/>
      <c r="I117" s="21"/>
      <c r="J117" s="31"/>
      <c r="K117" s="31"/>
      <c r="L117" s="22"/>
      <c r="M117" s="22"/>
      <c r="N117" s="22"/>
      <c r="O117" s="22"/>
      <c r="P117" s="22"/>
      <c r="Q117" s="27"/>
      <c r="R117" s="27"/>
      <c r="S117" s="27"/>
      <c r="T117" s="29"/>
      <c r="U117" s="29"/>
      <c r="V117" s="29"/>
      <c r="W117" s="43"/>
      <c r="X117" s="19"/>
      <c r="Y117" s="19"/>
      <c r="Z117" s="19"/>
      <c r="AA117" s="19"/>
      <c r="AB117" s="19"/>
      <c r="AC117" s="19"/>
      <c r="AD117" s="19"/>
      <c r="AE117" s="19"/>
    </row>
    <row r="118" spans="1:31" s="8" customFormat="1" ht="29.25" customHeight="1" x14ac:dyDescent="0.2">
      <c r="A118" s="22" t="s">
        <v>152</v>
      </c>
      <c r="B118" s="54" t="s">
        <v>411</v>
      </c>
      <c r="C118" s="54" t="s">
        <v>602</v>
      </c>
      <c r="D118" s="22"/>
      <c r="E118" s="22"/>
      <c r="F118" s="30"/>
      <c r="G118" s="22"/>
      <c r="H118" s="21"/>
      <c r="I118" s="21"/>
      <c r="J118" s="31"/>
      <c r="K118" s="31"/>
      <c r="L118" s="22"/>
      <c r="M118" s="22"/>
      <c r="N118" s="22"/>
      <c r="O118" s="22"/>
      <c r="P118" s="22"/>
      <c r="Q118" s="27"/>
      <c r="R118" s="27"/>
      <c r="S118" s="27"/>
      <c r="T118" s="29"/>
      <c r="U118" s="29"/>
      <c r="V118" s="29"/>
      <c r="W118" s="43"/>
      <c r="X118" s="19"/>
      <c r="Y118" s="19"/>
      <c r="Z118" s="19"/>
      <c r="AA118" s="19"/>
      <c r="AB118" s="19"/>
      <c r="AC118" s="19"/>
      <c r="AD118" s="19"/>
      <c r="AE118" s="19"/>
    </row>
    <row r="119" spans="1:31" s="8" customFormat="1" ht="29.25" customHeight="1" x14ac:dyDescent="0.2">
      <c r="A119" s="14" t="s">
        <v>235</v>
      </c>
      <c r="B119" s="55" t="s">
        <v>465</v>
      </c>
      <c r="C119" s="54" t="s">
        <v>646</v>
      </c>
      <c r="D119" s="22"/>
      <c r="E119" s="22"/>
      <c r="F119" s="30"/>
      <c r="G119" s="22"/>
      <c r="H119" s="21"/>
      <c r="I119" s="21"/>
      <c r="J119" s="31"/>
      <c r="K119" s="31"/>
      <c r="L119" s="22"/>
      <c r="M119" s="22"/>
      <c r="N119" s="22"/>
      <c r="O119" s="22"/>
      <c r="P119" s="22"/>
      <c r="Q119" s="27"/>
      <c r="R119" s="27"/>
      <c r="S119" s="27"/>
      <c r="T119" s="29"/>
      <c r="U119" s="29"/>
      <c r="V119" s="29"/>
      <c r="W119" s="43"/>
      <c r="X119" s="19"/>
      <c r="Y119" s="19"/>
      <c r="Z119" s="19"/>
      <c r="AA119" s="19"/>
      <c r="AB119" s="19"/>
      <c r="AC119" s="19"/>
      <c r="AD119" s="19"/>
      <c r="AE119" s="19"/>
    </row>
    <row r="120" spans="1:31" s="8" customFormat="1" ht="29.25" customHeight="1" x14ac:dyDescent="0.2">
      <c r="A120" s="14" t="s">
        <v>335</v>
      </c>
      <c r="B120" s="55" t="s">
        <v>547</v>
      </c>
      <c r="C120" s="54" t="s">
        <v>718</v>
      </c>
      <c r="D120" s="22"/>
      <c r="E120" s="22"/>
      <c r="F120" s="30"/>
      <c r="G120" s="22"/>
      <c r="H120" s="21"/>
      <c r="I120" s="21"/>
      <c r="J120" s="31"/>
      <c r="K120" s="31"/>
      <c r="L120" s="22"/>
      <c r="M120" s="22"/>
      <c r="N120" s="22"/>
      <c r="O120" s="22"/>
      <c r="P120" s="22"/>
      <c r="Q120" s="27"/>
      <c r="R120" s="27"/>
      <c r="S120" s="27"/>
      <c r="T120" s="29"/>
      <c r="U120" s="29"/>
      <c r="V120" s="29"/>
      <c r="W120" s="43"/>
      <c r="X120" s="19"/>
      <c r="Y120" s="19"/>
      <c r="Z120" s="19"/>
      <c r="AA120" s="19"/>
      <c r="AB120" s="19"/>
      <c r="AC120" s="19"/>
      <c r="AD120" s="19"/>
      <c r="AE120" s="19"/>
    </row>
    <row r="121" spans="1:31" s="8" customFormat="1" ht="29.25" customHeight="1" x14ac:dyDescent="0.2">
      <c r="A121" s="14" t="s">
        <v>366</v>
      </c>
      <c r="B121" s="54" t="s">
        <v>564</v>
      </c>
      <c r="C121" s="54" t="s">
        <v>737</v>
      </c>
      <c r="D121" s="22"/>
      <c r="E121" s="22"/>
      <c r="F121" s="30"/>
      <c r="G121" s="22"/>
      <c r="H121" s="21"/>
      <c r="I121" s="21"/>
      <c r="J121" s="31"/>
      <c r="K121" s="31"/>
      <c r="L121" s="22"/>
      <c r="M121" s="22"/>
      <c r="N121" s="22"/>
      <c r="O121" s="22"/>
      <c r="P121" s="22"/>
      <c r="Q121" s="27"/>
      <c r="R121" s="27"/>
      <c r="S121" s="27"/>
      <c r="T121" s="29"/>
      <c r="U121" s="29"/>
      <c r="V121" s="29"/>
      <c r="W121" s="43"/>
      <c r="X121" s="19"/>
      <c r="Y121" s="19"/>
      <c r="Z121" s="19"/>
      <c r="AA121" s="19"/>
      <c r="AB121" s="19"/>
      <c r="AC121" s="19"/>
      <c r="AD121" s="19"/>
      <c r="AE121" s="19"/>
    </row>
    <row r="122" spans="1:31" s="8" customFormat="1" ht="29.25" customHeight="1" x14ac:dyDescent="0.2">
      <c r="A122" s="14" t="s">
        <v>355</v>
      </c>
      <c r="B122" s="55" t="s">
        <v>557</v>
      </c>
      <c r="C122" s="54" t="s">
        <v>730</v>
      </c>
      <c r="D122" s="22"/>
      <c r="E122" s="22"/>
      <c r="F122" s="30"/>
      <c r="G122" s="22"/>
      <c r="H122" s="21"/>
      <c r="I122" s="21"/>
      <c r="J122" s="31"/>
      <c r="K122" s="31"/>
      <c r="L122" s="22"/>
      <c r="M122" s="22"/>
      <c r="N122" s="22"/>
      <c r="O122" s="22"/>
      <c r="P122" s="22"/>
      <c r="Q122" s="27"/>
      <c r="R122" s="27"/>
      <c r="S122" s="27"/>
      <c r="T122" s="29"/>
      <c r="U122" s="29"/>
      <c r="V122" s="29"/>
      <c r="W122" s="43"/>
      <c r="X122" s="19"/>
      <c r="Y122" s="19"/>
      <c r="Z122" s="19"/>
      <c r="AA122" s="19"/>
      <c r="AB122" s="19"/>
      <c r="AC122" s="19"/>
      <c r="AD122" s="19"/>
      <c r="AE122" s="19"/>
    </row>
    <row r="123" spans="1:31" s="8" customFormat="1" ht="29.25" customHeight="1" x14ac:dyDescent="0.2">
      <c r="A123" s="23" t="s">
        <v>147</v>
      </c>
      <c r="B123" s="54" t="s">
        <v>410</v>
      </c>
      <c r="C123" s="54"/>
      <c r="D123" s="22"/>
      <c r="E123" s="22"/>
      <c r="F123" s="30"/>
      <c r="G123" s="22"/>
      <c r="H123" s="21"/>
      <c r="I123" s="21"/>
      <c r="J123" s="31"/>
      <c r="K123" s="31"/>
      <c r="L123" s="22"/>
      <c r="M123" s="22"/>
      <c r="N123" s="22"/>
      <c r="O123" s="22"/>
      <c r="P123" s="22"/>
      <c r="Q123" s="27"/>
      <c r="R123" s="27"/>
      <c r="S123" s="27"/>
      <c r="T123" s="29"/>
      <c r="U123" s="29"/>
      <c r="V123" s="29"/>
      <c r="W123" s="43"/>
      <c r="X123" s="19"/>
      <c r="Y123" s="19"/>
      <c r="Z123" s="19"/>
      <c r="AA123" s="19"/>
      <c r="AB123" s="19"/>
      <c r="AC123" s="19"/>
      <c r="AD123" s="19"/>
      <c r="AE123" s="19"/>
    </row>
    <row r="124" spans="1:31" s="8" customFormat="1" ht="29.25" customHeight="1" x14ac:dyDescent="0.2">
      <c r="A124" s="22" t="s">
        <v>148</v>
      </c>
      <c r="B124" s="54" t="s">
        <v>410</v>
      </c>
      <c r="C124" s="54"/>
      <c r="D124" s="22"/>
      <c r="E124" s="22"/>
      <c r="F124" s="30"/>
      <c r="G124" s="22"/>
      <c r="H124" s="21"/>
      <c r="I124" s="21"/>
      <c r="J124" s="31"/>
      <c r="K124" s="31"/>
      <c r="L124" s="22"/>
      <c r="M124" s="22"/>
      <c r="N124" s="22"/>
      <c r="O124" s="22"/>
      <c r="P124" s="22"/>
      <c r="Q124" s="27"/>
      <c r="R124" s="27"/>
      <c r="S124" s="27"/>
      <c r="T124" s="29"/>
      <c r="U124" s="29"/>
      <c r="V124" s="29"/>
      <c r="W124" s="43"/>
      <c r="X124" s="19"/>
      <c r="Y124" s="19"/>
      <c r="Z124" s="19"/>
      <c r="AA124" s="19"/>
      <c r="AB124" s="19"/>
      <c r="AC124" s="19"/>
      <c r="AD124" s="19"/>
      <c r="AE124" s="19"/>
    </row>
    <row r="125" spans="1:31" s="8" customFormat="1" ht="29.25" customHeight="1" x14ac:dyDescent="0.2">
      <c r="A125" s="14" t="s">
        <v>350</v>
      </c>
      <c r="B125" s="54" t="s">
        <v>554</v>
      </c>
      <c r="C125" s="54" t="s">
        <v>726</v>
      </c>
      <c r="D125" s="22"/>
      <c r="E125" s="22"/>
      <c r="F125" s="30"/>
      <c r="G125" s="22"/>
      <c r="H125" s="21"/>
      <c r="I125" s="21"/>
      <c r="J125" s="31"/>
      <c r="K125" s="31"/>
      <c r="L125" s="22"/>
      <c r="M125" s="22"/>
      <c r="N125" s="22"/>
      <c r="O125" s="22"/>
      <c r="P125" s="22"/>
      <c r="Q125" s="27"/>
      <c r="R125" s="27"/>
      <c r="S125" s="27"/>
      <c r="T125" s="29"/>
      <c r="U125" s="29"/>
      <c r="V125" s="29"/>
      <c r="W125" s="43"/>
      <c r="X125" s="19"/>
      <c r="Y125" s="19"/>
      <c r="Z125" s="19"/>
      <c r="AA125" s="19"/>
      <c r="AB125" s="19"/>
      <c r="AC125" s="19"/>
      <c r="AD125" s="19"/>
      <c r="AE125" s="19"/>
    </row>
    <row r="126" spans="1:31" s="8" customFormat="1" ht="29.25" customHeight="1" x14ac:dyDescent="0.2">
      <c r="A126" s="23" t="s">
        <v>120</v>
      </c>
      <c r="B126" s="69" t="s">
        <v>389</v>
      </c>
      <c r="C126" s="59" t="s">
        <v>584</v>
      </c>
      <c r="D126" s="22"/>
      <c r="E126" s="22"/>
      <c r="F126" s="30"/>
      <c r="G126" s="22"/>
      <c r="H126" s="21"/>
      <c r="I126" s="21"/>
      <c r="J126" s="31"/>
      <c r="K126" s="31"/>
      <c r="L126" s="22"/>
      <c r="M126" s="22"/>
      <c r="N126" s="22"/>
      <c r="O126" s="22"/>
      <c r="P126" s="22"/>
      <c r="Q126" s="27"/>
      <c r="R126" s="27"/>
      <c r="S126" s="27"/>
      <c r="T126" s="29"/>
      <c r="U126" s="29"/>
      <c r="V126" s="29"/>
      <c r="W126" s="43"/>
      <c r="X126" s="19"/>
      <c r="Y126" s="19"/>
      <c r="Z126" s="19"/>
      <c r="AA126" s="19"/>
      <c r="AB126" s="19"/>
      <c r="AC126" s="19"/>
      <c r="AD126" s="19"/>
      <c r="AE126" s="19"/>
    </row>
    <row r="127" spans="1:31" s="8" customFormat="1" ht="29.25" customHeight="1" x14ac:dyDescent="0.2">
      <c r="A127" s="22" t="s">
        <v>223</v>
      </c>
      <c r="B127" s="54" t="s">
        <v>462</v>
      </c>
      <c r="C127" s="54" t="s">
        <v>642</v>
      </c>
      <c r="D127" s="22"/>
      <c r="E127" s="22"/>
      <c r="F127" s="30"/>
      <c r="G127" s="22"/>
      <c r="H127" s="21"/>
      <c r="I127" s="21"/>
      <c r="J127" s="31"/>
      <c r="K127" s="31"/>
      <c r="L127" s="22"/>
      <c r="M127" s="22"/>
      <c r="N127" s="22"/>
      <c r="O127" s="22"/>
      <c r="P127" s="22"/>
      <c r="Q127" s="27"/>
      <c r="R127" s="27"/>
      <c r="S127" s="27"/>
      <c r="T127" s="29"/>
      <c r="U127" s="29"/>
      <c r="V127" s="29"/>
      <c r="W127" s="43"/>
      <c r="X127" s="19"/>
      <c r="Y127" s="19"/>
      <c r="Z127" s="19"/>
      <c r="AA127" s="19"/>
      <c r="AB127" s="19"/>
      <c r="AC127" s="19"/>
      <c r="AD127" s="19"/>
      <c r="AE127" s="19"/>
    </row>
    <row r="128" spans="1:31" s="8" customFormat="1" ht="29.25" customHeight="1" x14ac:dyDescent="0.2">
      <c r="A128" s="14" t="s">
        <v>238</v>
      </c>
      <c r="B128" s="54" t="s">
        <v>468</v>
      </c>
      <c r="C128" s="54" t="s">
        <v>649</v>
      </c>
      <c r="D128" s="22"/>
      <c r="E128" s="22"/>
      <c r="F128" s="30"/>
      <c r="G128" s="22"/>
      <c r="H128" s="21"/>
      <c r="I128" s="21"/>
      <c r="J128" s="31"/>
      <c r="K128" s="31"/>
      <c r="L128" s="22"/>
      <c r="M128" s="22"/>
      <c r="N128" s="22"/>
      <c r="O128" s="22"/>
      <c r="P128" s="22"/>
      <c r="Q128" s="27"/>
      <c r="R128" s="27"/>
      <c r="S128" s="27"/>
      <c r="T128" s="29"/>
      <c r="U128" s="29"/>
      <c r="V128" s="29"/>
      <c r="W128" s="43"/>
      <c r="X128" s="19"/>
      <c r="Y128" s="19"/>
      <c r="Z128" s="19"/>
      <c r="AA128" s="19"/>
      <c r="AB128" s="19"/>
      <c r="AC128" s="19"/>
      <c r="AD128" s="19"/>
      <c r="AE128" s="19"/>
    </row>
    <row r="129" spans="1:31" s="8" customFormat="1" ht="29.25" customHeight="1" x14ac:dyDescent="0.2">
      <c r="A129" s="22" t="s">
        <v>168</v>
      </c>
      <c r="B129" s="56" t="s">
        <v>425</v>
      </c>
      <c r="C129" s="54" t="s">
        <v>611</v>
      </c>
      <c r="D129" s="22"/>
      <c r="E129" s="22"/>
      <c r="F129" s="30"/>
      <c r="G129" s="22"/>
      <c r="H129" s="21"/>
      <c r="I129" s="21"/>
      <c r="J129" s="31"/>
      <c r="K129" s="31"/>
      <c r="L129" s="22"/>
      <c r="M129" s="22"/>
      <c r="N129" s="22"/>
      <c r="O129" s="22"/>
      <c r="P129" s="22"/>
      <c r="Q129" s="27"/>
      <c r="R129" s="27"/>
      <c r="S129" s="27"/>
      <c r="T129" s="29"/>
      <c r="U129" s="29"/>
      <c r="V129" s="29"/>
      <c r="W129" s="43"/>
      <c r="X129" s="19"/>
      <c r="Y129" s="19"/>
      <c r="Z129" s="19"/>
      <c r="AA129" s="19"/>
      <c r="AB129" s="19"/>
      <c r="AC129" s="19"/>
      <c r="AD129" s="19"/>
      <c r="AE129" s="19"/>
    </row>
    <row r="130" spans="1:31" s="8" customFormat="1" ht="29.25" customHeight="1" x14ac:dyDescent="0.2">
      <c r="A130" s="14" t="s">
        <v>309</v>
      </c>
      <c r="B130" s="56" t="s">
        <v>528</v>
      </c>
      <c r="C130" s="54" t="s">
        <v>702</v>
      </c>
      <c r="D130" s="22"/>
      <c r="E130" s="22"/>
      <c r="F130" s="30"/>
      <c r="G130" s="22"/>
      <c r="H130" s="21"/>
      <c r="I130" s="21"/>
      <c r="J130" s="31"/>
      <c r="K130" s="31"/>
      <c r="L130" s="22"/>
      <c r="M130" s="22"/>
      <c r="N130" s="22"/>
      <c r="O130" s="22"/>
      <c r="P130" s="22"/>
      <c r="Q130" s="27"/>
      <c r="R130" s="27"/>
      <c r="S130" s="27"/>
      <c r="T130" s="29"/>
      <c r="U130" s="29"/>
      <c r="V130" s="29"/>
      <c r="W130" s="43"/>
      <c r="X130" s="19"/>
      <c r="Y130" s="19"/>
      <c r="Z130" s="19"/>
      <c r="AA130" s="19"/>
      <c r="AB130" s="19"/>
      <c r="AC130" s="19"/>
      <c r="AD130" s="19"/>
      <c r="AE130" s="19"/>
    </row>
    <row r="131" spans="1:31" s="8" customFormat="1" ht="29.25" customHeight="1" x14ac:dyDescent="0.2">
      <c r="A131" s="22" t="s">
        <v>165</v>
      </c>
      <c r="B131" s="54" t="s">
        <v>422</v>
      </c>
      <c r="C131" s="64"/>
      <c r="D131" s="22"/>
      <c r="E131" s="22"/>
      <c r="F131" s="30"/>
      <c r="G131" s="22"/>
      <c r="H131" s="21"/>
      <c r="I131" s="21"/>
      <c r="J131" s="31"/>
      <c r="K131" s="31"/>
      <c r="L131" s="22"/>
      <c r="M131" s="22"/>
      <c r="N131" s="22"/>
      <c r="O131" s="22"/>
      <c r="P131" s="22"/>
      <c r="Q131" s="27"/>
      <c r="R131" s="27"/>
      <c r="S131" s="27"/>
      <c r="T131" s="29"/>
      <c r="U131" s="29"/>
      <c r="V131" s="29"/>
      <c r="W131" s="43"/>
      <c r="X131" s="19"/>
      <c r="Y131" s="19"/>
      <c r="Z131" s="19"/>
      <c r="AA131" s="19"/>
      <c r="AB131" s="19"/>
      <c r="AC131" s="19"/>
      <c r="AD131" s="19"/>
      <c r="AE131" s="19"/>
    </row>
    <row r="132" spans="1:31" s="8" customFormat="1" ht="29.25" customHeight="1" x14ac:dyDescent="0.2">
      <c r="A132" s="14" t="s">
        <v>340</v>
      </c>
      <c r="B132" s="56" t="s">
        <v>552</v>
      </c>
      <c r="C132" s="54" t="s">
        <v>571</v>
      </c>
      <c r="D132" s="22"/>
      <c r="E132" s="22"/>
      <c r="F132" s="30"/>
      <c r="G132" s="22"/>
      <c r="H132" s="21"/>
      <c r="I132" s="21"/>
      <c r="J132" s="31"/>
      <c r="K132" s="31"/>
      <c r="L132" s="22"/>
      <c r="M132" s="22"/>
      <c r="N132" s="22"/>
      <c r="O132" s="22"/>
      <c r="P132" s="22"/>
      <c r="Q132" s="27"/>
      <c r="R132" s="27"/>
      <c r="S132" s="27"/>
      <c r="T132" s="29"/>
      <c r="U132" s="29"/>
      <c r="V132" s="29"/>
      <c r="W132" s="43"/>
      <c r="X132" s="19"/>
      <c r="Y132" s="19"/>
      <c r="Z132" s="19"/>
      <c r="AA132" s="19"/>
      <c r="AB132" s="19"/>
      <c r="AC132" s="19"/>
      <c r="AD132" s="19"/>
      <c r="AE132" s="19"/>
    </row>
    <row r="133" spans="1:31" s="8" customFormat="1" ht="29.25" customHeight="1" x14ac:dyDescent="0.2">
      <c r="A133" s="23" t="s">
        <v>129</v>
      </c>
      <c r="B133" s="54" t="s">
        <v>398</v>
      </c>
      <c r="C133" s="54" t="s">
        <v>592</v>
      </c>
      <c r="D133" s="22"/>
      <c r="E133" s="22"/>
      <c r="F133" s="30"/>
      <c r="G133" s="22"/>
      <c r="H133" s="21"/>
      <c r="I133" s="21"/>
      <c r="J133" s="31"/>
      <c r="K133" s="31"/>
      <c r="L133" s="22"/>
      <c r="M133" s="22"/>
      <c r="N133" s="22"/>
      <c r="O133" s="22"/>
      <c r="P133" s="22"/>
      <c r="Q133" s="27"/>
      <c r="R133" s="27"/>
      <c r="S133" s="27"/>
      <c r="T133" s="29"/>
      <c r="U133" s="29"/>
      <c r="V133" s="29"/>
      <c r="W133" s="43"/>
      <c r="X133" s="19"/>
      <c r="Y133" s="19"/>
      <c r="Z133" s="19"/>
      <c r="AA133" s="19"/>
      <c r="AB133" s="19"/>
      <c r="AC133" s="19"/>
      <c r="AD133" s="19"/>
      <c r="AE133" s="19"/>
    </row>
    <row r="134" spans="1:31" s="9" customFormat="1" ht="29.25" customHeight="1" x14ac:dyDescent="0.2">
      <c r="A134" s="14" t="s">
        <v>341</v>
      </c>
      <c r="B134" s="56" t="s">
        <v>552</v>
      </c>
      <c r="C134" s="54" t="s">
        <v>571</v>
      </c>
      <c r="D134" s="22"/>
      <c r="E134" s="22"/>
      <c r="F134" s="30"/>
      <c r="G134" s="22"/>
      <c r="H134" s="21"/>
      <c r="I134" s="21"/>
      <c r="J134" s="31"/>
      <c r="K134" s="31"/>
      <c r="L134" s="22"/>
      <c r="M134" s="22"/>
      <c r="N134" s="22"/>
      <c r="O134" s="22"/>
      <c r="P134" s="22"/>
      <c r="Q134" s="27"/>
      <c r="R134" s="27"/>
      <c r="S134" s="27"/>
      <c r="T134" s="29"/>
      <c r="U134" s="29"/>
      <c r="V134" s="29"/>
      <c r="W134" s="43"/>
      <c r="X134" s="20"/>
      <c r="Y134" s="20"/>
      <c r="Z134" s="20"/>
      <c r="AA134" s="20"/>
      <c r="AB134" s="20"/>
      <c r="AC134" s="20"/>
      <c r="AD134" s="20"/>
      <c r="AE134" s="20"/>
    </row>
    <row r="135" spans="1:31" s="9" customFormat="1" ht="29.25" customHeight="1" x14ac:dyDescent="0.2">
      <c r="A135" s="14" t="s">
        <v>343</v>
      </c>
      <c r="B135" s="56" t="s">
        <v>552</v>
      </c>
      <c r="C135" s="54" t="s">
        <v>571</v>
      </c>
      <c r="D135" s="22"/>
      <c r="E135" s="22"/>
      <c r="F135" s="30"/>
      <c r="G135" s="22"/>
      <c r="H135" s="21"/>
      <c r="I135" s="21"/>
      <c r="J135" s="31"/>
      <c r="K135" s="31"/>
      <c r="L135" s="22"/>
      <c r="M135" s="22"/>
      <c r="N135" s="22"/>
      <c r="O135" s="22"/>
      <c r="P135" s="22"/>
      <c r="Q135" s="27"/>
      <c r="R135" s="27"/>
      <c r="S135" s="27"/>
      <c r="T135" s="29"/>
      <c r="U135" s="29"/>
      <c r="V135" s="29"/>
      <c r="W135" s="43"/>
      <c r="X135" s="20"/>
      <c r="Y135" s="20"/>
      <c r="Z135" s="20"/>
      <c r="AA135" s="20"/>
      <c r="AB135" s="20"/>
      <c r="AC135" s="20"/>
      <c r="AD135" s="20"/>
      <c r="AE135" s="20"/>
    </row>
    <row r="136" spans="1:31" s="9" customFormat="1" ht="29.25" customHeight="1" x14ac:dyDescent="0.2">
      <c r="A136" s="14" t="s">
        <v>346</v>
      </c>
      <c r="B136" s="56" t="s">
        <v>552</v>
      </c>
      <c r="C136" s="54" t="s">
        <v>571</v>
      </c>
      <c r="D136" s="22"/>
      <c r="E136" s="22"/>
      <c r="F136" s="30"/>
      <c r="G136" s="22"/>
      <c r="H136" s="21"/>
      <c r="I136" s="21"/>
      <c r="J136" s="31"/>
      <c r="K136" s="31"/>
      <c r="L136" s="22"/>
      <c r="M136" s="22"/>
      <c r="N136" s="22"/>
      <c r="O136" s="22"/>
      <c r="P136" s="22"/>
      <c r="Q136" s="27"/>
      <c r="R136" s="27"/>
      <c r="S136" s="27"/>
      <c r="T136" s="29"/>
      <c r="U136" s="29"/>
      <c r="V136" s="29"/>
      <c r="W136" s="43"/>
      <c r="X136" s="20"/>
      <c r="Y136" s="20"/>
      <c r="Z136" s="20"/>
      <c r="AA136" s="20"/>
      <c r="AB136" s="20"/>
      <c r="AC136" s="20"/>
      <c r="AD136" s="20"/>
      <c r="AE136" s="20"/>
    </row>
    <row r="137" spans="1:31" s="9" customFormat="1" ht="29.25" customHeight="1" x14ac:dyDescent="0.2">
      <c r="A137" s="22" t="s">
        <v>153</v>
      </c>
      <c r="B137" s="54" t="s">
        <v>412</v>
      </c>
      <c r="C137" s="54" t="s">
        <v>594</v>
      </c>
      <c r="D137" s="22"/>
      <c r="E137" s="22"/>
      <c r="F137" s="30"/>
      <c r="G137" s="22"/>
      <c r="H137" s="21"/>
      <c r="I137" s="21"/>
      <c r="J137" s="31"/>
      <c r="K137" s="31"/>
      <c r="L137" s="22"/>
      <c r="M137" s="22"/>
      <c r="N137" s="22"/>
      <c r="O137" s="22"/>
      <c r="P137" s="22"/>
      <c r="Q137" s="27"/>
      <c r="R137" s="27"/>
      <c r="S137" s="27"/>
      <c r="T137" s="29"/>
      <c r="U137" s="29"/>
      <c r="V137" s="29"/>
      <c r="W137" s="43"/>
      <c r="X137" s="20"/>
      <c r="Y137" s="20"/>
      <c r="Z137" s="20"/>
      <c r="AA137" s="20"/>
      <c r="AB137" s="20"/>
      <c r="AC137" s="20"/>
      <c r="AD137" s="20"/>
      <c r="AE137" s="20"/>
    </row>
    <row r="138" spans="1:31" s="9" customFormat="1" ht="29.25" customHeight="1" x14ac:dyDescent="0.2">
      <c r="A138" s="14" t="s">
        <v>348</v>
      </c>
      <c r="B138" s="56" t="s">
        <v>552</v>
      </c>
      <c r="C138" s="54" t="s">
        <v>571</v>
      </c>
      <c r="D138" s="22"/>
      <c r="E138" s="22"/>
      <c r="F138" s="30"/>
      <c r="G138" s="22"/>
      <c r="H138" s="21"/>
      <c r="I138" s="21"/>
      <c r="J138" s="31"/>
      <c r="K138" s="31"/>
      <c r="L138" s="22"/>
      <c r="M138" s="22"/>
      <c r="N138" s="22"/>
      <c r="O138" s="22"/>
      <c r="P138" s="22"/>
      <c r="Q138" s="27"/>
      <c r="R138" s="27"/>
      <c r="S138" s="27"/>
      <c r="T138" s="29"/>
      <c r="U138" s="29"/>
      <c r="V138" s="29"/>
      <c r="W138" s="43"/>
      <c r="X138" s="20"/>
      <c r="Y138" s="20"/>
      <c r="Z138" s="20"/>
      <c r="AA138" s="20"/>
      <c r="AB138" s="20"/>
      <c r="AC138" s="20"/>
      <c r="AD138" s="20"/>
      <c r="AE138" s="20"/>
    </row>
    <row r="139" spans="1:31" s="9" customFormat="1" ht="29.25" customHeight="1" x14ac:dyDescent="0.2">
      <c r="A139" s="14" t="s">
        <v>349</v>
      </c>
      <c r="B139" s="61" t="s">
        <v>553</v>
      </c>
      <c r="C139" s="54" t="s">
        <v>725</v>
      </c>
      <c r="D139" s="22"/>
      <c r="E139" s="22"/>
      <c r="F139" s="30"/>
      <c r="G139" s="22"/>
      <c r="H139" s="21"/>
      <c r="I139" s="21"/>
      <c r="J139" s="31"/>
      <c r="K139" s="31"/>
      <c r="L139" s="22"/>
      <c r="M139" s="22"/>
      <c r="N139" s="22"/>
      <c r="O139" s="22"/>
      <c r="P139" s="22"/>
      <c r="Q139" s="27"/>
      <c r="R139" s="27"/>
      <c r="S139" s="27"/>
      <c r="T139" s="29"/>
      <c r="U139" s="29"/>
      <c r="V139" s="29"/>
      <c r="W139" s="43"/>
      <c r="X139" s="20"/>
      <c r="Y139" s="20"/>
      <c r="Z139" s="20"/>
      <c r="AA139" s="20"/>
      <c r="AB139" s="20"/>
      <c r="AC139" s="20"/>
      <c r="AD139" s="20"/>
      <c r="AE139" s="20"/>
    </row>
    <row r="140" spans="1:31" s="9" customFormat="1" ht="29.25" customHeight="1" x14ac:dyDescent="0.2">
      <c r="A140" s="23" t="s">
        <v>146</v>
      </c>
      <c r="B140" s="54" t="s">
        <v>410</v>
      </c>
      <c r="C140" s="54"/>
      <c r="D140" s="22"/>
      <c r="E140" s="22"/>
      <c r="F140" s="30"/>
      <c r="G140" s="22"/>
      <c r="H140" s="21"/>
      <c r="I140" s="21"/>
      <c r="J140" s="31"/>
      <c r="K140" s="31"/>
      <c r="L140" s="22"/>
      <c r="M140" s="22"/>
      <c r="N140" s="22"/>
      <c r="O140" s="22"/>
      <c r="P140" s="22"/>
      <c r="Q140" s="27"/>
      <c r="R140" s="27"/>
      <c r="S140" s="27"/>
      <c r="T140" s="29"/>
      <c r="U140" s="29"/>
      <c r="V140" s="29"/>
      <c r="W140" s="43"/>
      <c r="X140" s="20"/>
      <c r="Y140" s="20"/>
      <c r="Z140" s="20"/>
      <c r="AA140" s="20"/>
      <c r="AB140" s="20"/>
      <c r="AC140" s="20"/>
      <c r="AD140" s="20"/>
      <c r="AE140" s="20"/>
    </row>
    <row r="141" spans="1:31" s="9" customFormat="1" ht="29.25" customHeight="1" x14ac:dyDescent="0.2">
      <c r="A141" s="14" t="s">
        <v>328</v>
      </c>
      <c r="B141" s="55" t="s">
        <v>543</v>
      </c>
      <c r="C141" s="54" t="s">
        <v>718</v>
      </c>
      <c r="D141" s="22"/>
      <c r="E141" s="22"/>
      <c r="F141" s="30"/>
      <c r="G141" s="22"/>
      <c r="H141" s="21"/>
      <c r="I141" s="21"/>
      <c r="J141" s="31"/>
      <c r="K141" s="31"/>
      <c r="L141" s="22"/>
      <c r="M141" s="22"/>
      <c r="N141" s="22"/>
      <c r="O141" s="22"/>
      <c r="P141" s="22"/>
      <c r="Q141" s="27"/>
      <c r="R141" s="27"/>
      <c r="S141" s="27"/>
      <c r="T141" s="29"/>
      <c r="U141" s="29"/>
      <c r="V141" s="29"/>
      <c r="W141" s="43"/>
      <c r="X141" s="20"/>
      <c r="Y141" s="20"/>
      <c r="Z141" s="20"/>
      <c r="AA141" s="20"/>
      <c r="AB141" s="20"/>
      <c r="AC141" s="20"/>
      <c r="AD141" s="20"/>
      <c r="AE141" s="20"/>
    </row>
    <row r="142" spans="1:31" s="9" customFormat="1" ht="29.25" customHeight="1" x14ac:dyDescent="0.2">
      <c r="A142" s="14" t="s">
        <v>337</v>
      </c>
      <c r="B142" s="54" t="s">
        <v>549</v>
      </c>
      <c r="C142" s="54" t="s">
        <v>723</v>
      </c>
      <c r="D142" s="22"/>
      <c r="E142" s="22"/>
      <c r="F142" s="30"/>
      <c r="G142" s="22"/>
      <c r="H142" s="21"/>
      <c r="I142" s="21"/>
      <c r="J142" s="31"/>
      <c r="K142" s="31"/>
      <c r="L142" s="22"/>
      <c r="M142" s="22"/>
      <c r="N142" s="22"/>
      <c r="O142" s="22"/>
      <c r="P142" s="22"/>
      <c r="Q142" s="27"/>
      <c r="R142" s="27"/>
      <c r="S142" s="27"/>
      <c r="T142" s="29"/>
      <c r="U142" s="29"/>
      <c r="V142" s="29"/>
      <c r="W142" s="43"/>
      <c r="X142" s="20"/>
      <c r="Y142" s="20"/>
      <c r="Z142" s="20"/>
      <c r="AA142" s="20"/>
      <c r="AB142" s="20"/>
      <c r="AC142" s="20"/>
      <c r="AD142" s="20"/>
      <c r="AE142" s="20"/>
    </row>
    <row r="143" spans="1:31" s="9" customFormat="1" ht="29.25" customHeight="1" x14ac:dyDescent="0.2">
      <c r="A143" s="14" t="s">
        <v>329</v>
      </c>
      <c r="B143" s="55" t="s">
        <v>544</v>
      </c>
      <c r="C143" s="54" t="s">
        <v>719</v>
      </c>
      <c r="D143" s="22"/>
      <c r="E143" s="22"/>
      <c r="F143" s="30"/>
      <c r="G143" s="22"/>
      <c r="H143" s="21"/>
      <c r="I143" s="21"/>
      <c r="J143" s="31"/>
      <c r="K143" s="31"/>
      <c r="L143" s="22"/>
      <c r="M143" s="22"/>
      <c r="N143" s="22"/>
      <c r="O143" s="22"/>
      <c r="P143" s="22"/>
      <c r="Q143" s="27"/>
      <c r="R143" s="27"/>
      <c r="S143" s="27"/>
      <c r="T143" s="29"/>
      <c r="U143" s="29"/>
      <c r="V143" s="29"/>
      <c r="W143" s="43"/>
      <c r="X143" s="20"/>
      <c r="Y143" s="20"/>
      <c r="Z143" s="20"/>
      <c r="AA143" s="20"/>
      <c r="AB143" s="20"/>
      <c r="AC143" s="20"/>
      <c r="AD143" s="20"/>
      <c r="AE143" s="20"/>
    </row>
    <row r="144" spans="1:31" s="9" customFormat="1" ht="29.25" customHeight="1" x14ac:dyDescent="0.2">
      <c r="A144" s="14" t="s">
        <v>334</v>
      </c>
      <c r="B144" s="55" t="s">
        <v>546</v>
      </c>
      <c r="C144" s="54" t="s">
        <v>721</v>
      </c>
      <c r="D144" s="14"/>
      <c r="E144" s="14"/>
      <c r="F144" s="18"/>
      <c r="G144" s="14"/>
      <c r="H144" s="13"/>
      <c r="I144" s="13"/>
      <c r="J144" s="16"/>
      <c r="K144" s="16"/>
      <c r="L144" s="14"/>
      <c r="M144" s="14"/>
      <c r="N144" s="14"/>
      <c r="O144" s="14"/>
      <c r="P144" s="14"/>
      <c r="Q144" s="17"/>
      <c r="R144" s="17"/>
      <c r="S144" s="17"/>
      <c r="T144" s="15"/>
      <c r="U144" s="15"/>
      <c r="V144" s="15"/>
      <c r="W144" s="44"/>
      <c r="X144" s="20"/>
      <c r="Y144" s="20"/>
      <c r="Z144" s="20"/>
      <c r="AA144" s="20"/>
      <c r="AB144" s="20"/>
      <c r="AC144" s="20"/>
      <c r="AD144" s="20"/>
      <c r="AE144" s="20"/>
    </row>
    <row r="145" spans="1:31" s="9" customFormat="1" ht="29.25" customHeight="1" x14ac:dyDescent="0.2">
      <c r="A145" s="14" t="s">
        <v>227</v>
      </c>
      <c r="B145" s="57" t="s">
        <v>464</v>
      </c>
      <c r="C145" s="66"/>
      <c r="D145" s="14"/>
      <c r="E145" s="14"/>
      <c r="F145" s="18"/>
      <c r="G145" s="14"/>
      <c r="H145" s="13"/>
      <c r="I145" s="13"/>
      <c r="J145" s="16"/>
      <c r="K145" s="16"/>
      <c r="L145" s="14"/>
      <c r="M145" s="14"/>
      <c r="N145" s="14"/>
      <c r="O145" s="14"/>
      <c r="P145" s="14"/>
      <c r="Q145" s="17"/>
      <c r="R145" s="17"/>
      <c r="S145" s="17"/>
      <c r="T145" s="15"/>
      <c r="U145" s="15"/>
      <c r="V145" s="15"/>
      <c r="W145" s="44"/>
      <c r="X145" s="20"/>
      <c r="Y145" s="20"/>
      <c r="Z145" s="20"/>
      <c r="AA145" s="20"/>
      <c r="AB145" s="20"/>
      <c r="AC145" s="20"/>
      <c r="AD145" s="20"/>
      <c r="AE145" s="20"/>
    </row>
    <row r="146" spans="1:31" s="9" customFormat="1" ht="29.25" customHeight="1" x14ac:dyDescent="0.2">
      <c r="A146" s="23" t="s">
        <v>96</v>
      </c>
      <c r="B146" s="59" t="s">
        <v>373</v>
      </c>
      <c r="C146" s="59" t="s">
        <v>570</v>
      </c>
      <c r="D146" s="14"/>
      <c r="E146" s="14"/>
      <c r="F146" s="18"/>
      <c r="G146" s="14"/>
      <c r="H146" s="13"/>
      <c r="I146" s="13"/>
      <c r="J146" s="16"/>
      <c r="K146" s="16"/>
      <c r="L146" s="14"/>
      <c r="M146" s="14"/>
      <c r="N146" s="14"/>
      <c r="O146" s="14"/>
      <c r="P146" s="14"/>
      <c r="Q146" s="17"/>
      <c r="R146" s="17"/>
      <c r="S146" s="17"/>
      <c r="T146" s="15"/>
      <c r="U146" s="15"/>
      <c r="V146" s="15"/>
      <c r="W146" s="44"/>
      <c r="X146" s="20"/>
      <c r="Y146" s="20"/>
      <c r="Z146" s="20"/>
      <c r="AA146" s="20"/>
      <c r="AB146" s="20"/>
      <c r="AC146" s="20"/>
      <c r="AD146" s="20"/>
      <c r="AE146" s="20"/>
    </row>
    <row r="147" spans="1:31" s="9" customFormat="1" ht="29.25" customHeight="1" x14ac:dyDescent="0.2">
      <c r="A147" s="23" t="s">
        <v>97</v>
      </c>
      <c r="B147" s="59" t="s">
        <v>374</v>
      </c>
      <c r="C147" s="59" t="s">
        <v>571</v>
      </c>
      <c r="D147" s="14"/>
      <c r="E147" s="14"/>
      <c r="F147" s="18"/>
      <c r="G147" s="14"/>
      <c r="H147" s="13"/>
      <c r="I147" s="13"/>
      <c r="J147" s="16"/>
      <c r="K147" s="16"/>
      <c r="L147" s="14"/>
      <c r="M147" s="14"/>
      <c r="N147" s="14"/>
      <c r="O147" s="14"/>
      <c r="P147" s="14"/>
      <c r="Q147" s="17"/>
      <c r="R147" s="17"/>
      <c r="S147" s="17"/>
      <c r="T147" s="15"/>
      <c r="U147" s="15"/>
      <c r="V147" s="15"/>
      <c r="W147" s="44"/>
      <c r="X147" s="20"/>
      <c r="Y147" s="20"/>
      <c r="Z147" s="20"/>
      <c r="AA147" s="20"/>
      <c r="AB147" s="20"/>
      <c r="AC147" s="20"/>
      <c r="AD147" s="20"/>
      <c r="AE147" s="20"/>
    </row>
    <row r="148" spans="1:31" s="9" customFormat="1" ht="29.25" customHeight="1" x14ac:dyDescent="0.2">
      <c r="A148" s="23" t="s">
        <v>104</v>
      </c>
      <c r="B148" s="59" t="s">
        <v>381</v>
      </c>
      <c r="C148" s="59" t="s">
        <v>578</v>
      </c>
      <c r="D148" s="14"/>
      <c r="E148" s="14"/>
      <c r="F148" s="18"/>
      <c r="G148" s="14"/>
      <c r="H148" s="13"/>
      <c r="I148" s="13"/>
      <c r="J148" s="16"/>
      <c r="K148" s="16"/>
      <c r="L148" s="14"/>
      <c r="M148" s="14"/>
      <c r="N148" s="14"/>
      <c r="O148" s="14"/>
      <c r="P148" s="14"/>
      <c r="Q148" s="17"/>
      <c r="R148" s="17"/>
      <c r="S148" s="17"/>
      <c r="T148" s="15"/>
      <c r="U148" s="15"/>
      <c r="V148" s="15"/>
      <c r="W148" s="44"/>
      <c r="X148" s="20"/>
      <c r="Y148" s="20"/>
      <c r="Z148" s="20"/>
      <c r="AA148" s="20"/>
      <c r="AB148" s="20"/>
      <c r="AC148" s="20"/>
      <c r="AD148" s="20"/>
      <c r="AE148" s="20"/>
    </row>
    <row r="149" spans="1:31" s="9" customFormat="1" ht="29.25" customHeight="1" x14ac:dyDescent="0.2">
      <c r="A149" s="23" t="s">
        <v>98</v>
      </c>
      <c r="B149" s="69" t="s">
        <v>375</v>
      </c>
      <c r="C149" s="59" t="s">
        <v>572</v>
      </c>
      <c r="D149" s="14"/>
      <c r="E149" s="14"/>
      <c r="F149" s="18"/>
      <c r="G149" s="14"/>
      <c r="H149" s="13"/>
      <c r="I149" s="13"/>
      <c r="J149" s="16"/>
      <c r="K149" s="16"/>
      <c r="L149" s="14"/>
      <c r="M149" s="14"/>
      <c r="N149" s="14"/>
      <c r="O149" s="14"/>
      <c r="P149" s="14"/>
      <c r="Q149" s="17"/>
      <c r="R149" s="17"/>
      <c r="S149" s="17"/>
      <c r="T149" s="15"/>
      <c r="U149" s="15"/>
      <c r="V149" s="15"/>
      <c r="W149" s="44"/>
      <c r="X149" s="20"/>
      <c r="Y149" s="20"/>
      <c r="Z149" s="20"/>
      <c r="AA149" s="20"/>
      <c r="AB149" s="20"/>
      <c r="AC149" s="20"/>
      <c r="AD149" s="20"/>
      <c r="AE149" s="20"/>
    </row>
    <row r="150" spans="1:31" s="9" customFormat="1" ht="29.25" customHeight="1" x14ac:dyDescent="0.2">
      <c r="A150" s="23" t="s">
        <v>93</v>
      </c>
      <c r="B150" s="59" t="s">
        <v>370</v>
      </c>
      <c r="C150" s="59" t="s">
        <v>567</v>
      </c>
      <c r="D150" s="14"/>
      <c r="E150" s="14"/>
      <c r="F150" s="18"/>
      <c r="G150" s="14"/>
      <c r="H150" s="13"/>
      <c r="I150" s="13"/>
      <c r="J150" s="16"/>
      <c r="K150" s="16"/>
      <c r="L150" s="14"/>
      <c r="M150" s="14"/>
      <c r="N150" s="14"/>
      <c r="O150" s="14"/>
      <c r="P150" s="14"/>
      <c r="Q150" s="17"/>
      <c r="R150" s="17"/>
      <c r="S150" s="17"/>
      <c r="T150" s="15"/>
      <c r="U150" s="15"/>
      <c r="V150" s="15"/>
      <c r="W150" s="44"/>
      <c r="X150" s="20"/>
      <c r="Y150" s="20"/>
      <c r="Z150" s="20"/>
      <c r="AA150" s="20"/>
      <c r="AB150" s="20"/>
      <c r="AC150" s="20"/>
      <c r="AD150" s="20"/>
      <c r="AE150" s="20"/>
    </row>
    <row r="151" spans="1:31" s="9" customFormat="1" ht="29.25" customHeight="1" x14ac:dyDescent="0.2">
      <c r="A151" s="23" t="s">
        <v>100</v>
      </c>
      <c r="B151" s="71" t="s">
        <v>377</v>
      </c>
      <c r="C151" s="59" t="s">
        <v>574</v>
      </c>
      <c r="D151" s="14"/>
      <c r="E151" s="14"/>
      <c r="F151" s="18"/>
      <c r="G151" s="14"/>
      <c r="H151" s="13"/>
      <c r="I151" s="13"/>
      <c r="J151" s="16"/>
      <c r="K151" s="16"/>
      <c r="L151" s="14"/>
      <c r="M151" s="14"/>
      <c r="N151" s="14"/>
      <c r="O151" s="14"/>
      <c r="P151" s="14"/>
      <c r="Q151" s="17"/>
      <c r="R151" s="17"/>
      <c r="S151" s="17"/>
      <c r="T151" s="15"/>
      <c r="U151" s="15"/>
      <c r="V151" s="15"/>
      <c r="W151" s="44"/>
      <c r="X151" s="20"/>
      <c r="Y151" s="20"/>
      <c r="Z151" s="20"/>
      <c r="AA151" s="20"/>
      <c r="AB151" s="20"/>
      <c r="AC151" s="20"/>
      <c r="AD151" s="20"/>
      <c r="AE151" s="20"/>
    </row>
    <row r="152" spans="1:31" s="9" customFormat="1" ht="29.25" customHeight="1" x14ac:dyDescent="0.2">
      <c r="A152" s="23" t="s">
        <v>102</v>
      </c>
      <c r="B152" s="58" t="s">
        <v>379</v>
      </c>
      <c r="C152" s="59" t="s">
        <v>576</v>
      </c>
      <c r="D152" s="14"/>
      <c r="E152" s="14"/>
      <c r="F152" s="18"/>
      <c r="G152" s="14"/>
      <c r="H152" s="13"/>
      <c r="I152" s="13"/>
      <c r="J152" s="16"/>
      <c r="K152" s="16"/>
      <c r="L152" s="14"/>
      <c r="M152" s="14"/>
      <c r="N152" s="14"/>
      <c r="O152" s="14"/>
      <c r="P152" s="14"/>
      <c r="Q152" s="17"/>
      <c r="R152" s="17"/>
      <c r="S152" s="17"/>
      <c r="T152" s="15"/>
      <c r="U152" s="15"/>
      <c r="V152" s="15"/>
      <c r="W152" s="44"/>
      <c r="X152" s="20"/>
      <c r="Y152" s="20"/>
      <c r="Z152" s="20"/>
      <c r="AA152" s="20"/>
      <c r="AB152" s="20"/>
      <c r="AC152" s="20"/>
      <c r="AD152" s="20"/>
      <c r="AE152" s="20"/>
    </row>
    <row r="153" spans="1:31" s="9" customFormat="1" ht="29.25" customHeight="1" x14ac:dyDescent="0.2">
      <c r="A153" s="23" t="s">
        <v>92</v>
      </c>
      <c r="B153" s="69" t="s">
        <v>369</v>
      </c>
      <c r="C153" s="59" t="s">
        <v>77</v>
      </c>
      <c r="D153" s="14"/>
      <c r="E153" s="14"/>
      <c r="F153" s="18"/>
      <c r="G153" s="14"/>
      <c r="H153" s="13"/>
      <c r="I153" s="13"/>
      <c r="J153" s="16"/>
      <c r="K153" s="16"/>
      <c r="L153" s="14"/>
      <c r="M153" s="14"/>
      <c r="N153" s="14"/>
      <c r="O153" s="14"/>
      <c r="P153" s="14"/>
      <c r="Q153" s="17"/>
      <c r="R153" s="17"/>
      <c r="S153" s="17"/>
      <c r="T153" s="15"/>
      <c r="U153" s="15"/>
      <c r="V153" s="15"/>
      <c r="W153" s="44"/>
      <c r="X153" s="20"/>
      <c r="Y153" s="20"/>
      <c r="Z153" s="20"/>
      <c r="AA153" s="20"/>
      <c r="AB153" s="20"/>
      <c r="AC153" s="20"/>
      <c r="AD153" s="20"/>
      <c r="AE153" s="20"/>
    </row>
    <row r="154" spans="1:31" s="9" customFormat="1" ht="29.25" customHeight="1" x14ac:dyDescent="0.2">
      <c r="A154" s="23" t="s">
        <v>94</v>
      </c>
      <c r="B154" s="69" t="s">
        <v>371</v>
      </c>
      <c r="C154" s="59" t="s">
        <v>568</v>
      </c>
      <c r="D154" s="14"/>
      <c r="E154" s="14"/>
      <c r="F154" s="18"/>
      <c r="G154" s="14"/>
      <c r="H154" s="13"/>
      <c r="I154" s="13"/>
      <c r="J154" s="16"/>
      <c r="K154" s="16"/>
      <c r="L154" s="14"/>
      <c r="M154" s="14"/>
      <c r="N154" s="14"/>
      <c r="O154" s="14"/>
      <c r="P154" s="14"/>
      <c r="Q154" s="17"/>
      <c r="R154" s="17"/>
      <c r="S154" s="17"/>
      <c r="T154" s="15"/>
      <c r="U154" s="15"/>
      <c r="V154" s="15"/>
      <c r="W154" s="44"/>
      <c r="X154" s="20"/>
      <c r="Y154" s="20"/>
      <c r="Z154" s="20"/>
      <c r="AA154" s="20"/>
      <c r="AB154" s="20"/>
      <c r="AC154" s="20"/>
      <c r="AD154" s="20"/>
      <c r="AE154" s="20"/>
    </row>
    <row r="155" spans="1:31" s="9" customFormat="1" ht="29.25" customHeight="1" x14ac:dyDescent="0.2">
      <c r="A155" s="23" t="s">
        <v>95</v>
      </c>
      <c r="B155" s="69" t="s">
        <v>372</v>
      </c>
      <c r="C155" s="59" t="s">
        <v>569</v>
      </c>
      <c r="D155" s="14"/>
      <c r="E155" s="14"/>
      <c r="F155" s="18"/>
      <c r="G155" s="14"/>
      <c r="H155" s="13"/>
      <c r="I155" s="13"/>
      <c r="J155" s="16"/>
      <c r="K155" s="16"/>
      <c r="L155" s="14"/>
      <c r="M155" s="14"/>
      <c r="N155" s="14"/>
      <c r="O155" s="14"/>
      <c r="P155" s="14"/>
      <c r="Q155" s="17"/>
      <c r="R155" s="17"/>
      <c r="S155" s="17"/>
      <c r="T155" s="15"/>
      <c r="U155" s="15"/>
      <c r="V155" s="15"/>
      <c r="W155" s="44"/>
      <c r="X155" s="20"/>
      <c r="Y155" s="20"/>
      <c r="Z155" s="20"/>
      <c r="AA155" s="20"/>
      <c r="AB155" s="20"/>
      <c r="AC155" s="20"/>
      <c r="AD155" s="20"/>
      <c r="AE155" s="20"/>
    </row>
    <row r="156" spans="1:31" s="9" customFormat="1" ht="29.25" customHeight="1" x14ac:dyDescent="0.2">
      <c r="A156" s="23" t="s">
        <v>99</v>
      </c>
      <c r="B156" s="59" t="s">
        <v>376</v>
      </c>
      <c r="C156" s="59" t="s">
        <v>573</v>
      </c>
      <c r="D156" s="14"/>
      <c r="E156" s="14"/>
      <c r="F156" s="18"/>
      <c r="G156" s="14"/>
      <c r="H156" s="13"/>
      <c r="I156" s="13"/>
      <c r="J156" s="16"/>
      <c r="K156" s="16"/>
      <c r="L156" s="14"/>
      <c r="M156" s="14"/>
      <c r="N156" s="14"/>
      <c r="O156" s="14"/>
      <c r="P156" s="14"/>
      <c r="Q156" s="17"/>
      <c r="R156" s="17"/>
      <c r="S156" s="17"/>
      <c r="T156" s="15"/>
      <c r="U156" s="15"/>
      <c r="V156" s="15"/>
      <c r="W156" s="44"/>
      <c r="X156" s="20"/>
      <c r="Y156" s="20"/>
      <c r="Z156" s="20"/>
      <c r="AA156" s="20"/>
      <c r="AB156" s="20"/>
      <c r="AC156" s="20"/>
      <c r="AD156" s="20"/>
      <c r="AE156" s="20"/>
    </row>
    <row r="157" spans="1:31" s="9" customFormat="1" ht="29.25" customHeight="1" x14ac:dyDescent="0.2">
      <c r="A157" s="23" t="s">
        <v>101</v>
      </c>
      <c r="B157" s="59" t="s">
        <v>378</v>
      </c>
      <c r="C157" s="59" t="s">
        <v>575</v>
      </c>
      <c r="D157" s="14"/>
      <c r="E157" s="14"/>
      <c r="F157" s="18"/>
      <c r="G157" s="14"/>
      <c r="H157" s="13"/>
      <c r="I157" s="13"/>
      <c r="J157" s="16"/>
      <c r="K157" s="16"/>
      <c r="L157" s="14"/>
      <c r="M157" s="14"/>
      <c r="N157" s="14"/>
      <c r="O157" s="14"/>
      <c r="P157" s="14"/>
      <c r="Q157" s="17"/>
      <c r="R157" s="17"/>
      <c r="S157" s="17"/>
      <c r="T157" s="15"/>
      <c r="U157" s="15"/>
      <c r="V157" s="15"/>
      <c r="W157" s="44"/>
      <c r="X157" s="20"/>
      <c r="Y157" s="20"/>
      <c r="Z157" s="20"/>
      <c r="AA157" s="20"/>
      <c r="AB157" s="20"/>
      <c r="AC157" s="20"/>
      <c r="AD157" s="20"/>
      <c r="AE157" s="20"/>
    </row>
    <row r="158" spans="1:31" s="9" customFormat="1" ht="29.25" customHeight="1" x14ac:dyDescent="0.2">
      <c r="A158" s="14" t="s">
        <v>354</v>
      </c>
      <c r="B158" s="55" t="s">
        <v>556</v>
      </c>
      <c r="C158" s="54" t="s">
        <v>729</v>
      </c>
      <c r="D158" s="14"/>
      <c r="E158" s="14"/>
      <c r="F158" s="18"/>
      <c r="G158" s="14"/>
      <c r="H158" s="13"/>
      <c r="I158" s="13"/>
      <c r="J158" s="16"/>
      <c r="K158" s="16"/>
      <c r="L158" s="14"/>
      <c r="M158" s="14"/>
      <c r="N158" s="14"/>
      <c r="O158" s="14"/>
      <c r="P158" s="14"/>
      <c r="Q158" s="17"/>
      <c r="R158" s="17"/>
      <c r="S158" s="17"/>
      <c r="T158" s="15"/>
      <c r="U158" s="15"/>
      <c r="V158" s="15"/>
      <c r="W158" s="44"/>
      <c r="X158" s="20"/>
      <c r="Y158" s="20"/>
      <c r="Z158" s="20"/>
      <c r="AA158" s="20"/>
      <c r="AB158" s="20"/>
      <c r="AC158" s="20"/>
      <c r="AD158" s="20"/>
      <c r="AE158" s="20"/>
    </row>
    <row r="159" spans="1:31" s="9" customFormat="1" ht="29.25" customHeight="1" x14ac:dyDescent="0.2">
      <c r="A159" s="14" t="s">
        <v>362</v>
      </c>
      <c r="B159" s="56" t="s">
        <v>560</v>
      </c>
      <c r="C159" s="54" t="s">
        <v>576</v>
      </c>
      <c r="D159" s="14"/>
      <c r="E159" s="14"/>
      <c r="F159" s="18"/>
      <c r="G159" s="14"/>
      <c r="H159" s="13"/>
      <c r="I159" s="13"/>
      <c r="J159" s="16"/>
      <c r="K159" s="16"/>
      <c r="L159" s="14"/>
      <c r="M159" s="14"/>
      <c r="N159" s="14"/>
      <c r="O159" s="14"/>
      <c r="P159" s="14"/>
      <c r="Q159" s="17"/>
      <c r="R159" s="17"/>
      <c r="S159" s="17"/>
      <c r="T159" s="15"/>
      <c r="U159" s="15"/>
      <c r="V159" s="15"/>
      <c r="W159" s="44"/>
      <c r="X159" s="20"/>
      <c r="Y159" s="20"/>
      <c r="Z159" s="20"/>
      <c r="AA159" s="20"/>
      <c r="AB159" s="20"/>
      <c r="AC159" s="20"/>
      <c r="AD159" s="20"/>
      <c r="AE159" s="20"/>
    </row>
    <row r="160" spans="1:31" s="9" customFormat="1" ht="29.25" customHeight="1" x14ac:dyDescent="0.2">
      <c r="A160" s="49" t="s">
        <v>363</v>
      </c>
      <c r="B160" s="54" t="s">
        <v>561</v>
      </c>
      <c r="C160" s="54" t="s">
        <v>734</v>
      </c>
      <c r="D160" s="14"/>
      <c r="E160" s="14"/>
      <c r="F160" s="18"/>
      <c r="G160" s="14"/>
      <c r="H160" s="13"/>
      <c r="I160" s="13"/>
      <c r="J160" s="16"/>
      <c r="K160" s="16"/>
      <c r="L160" s="14"/>
      <c r="M160" s="14"/>
      <c r="N160" s="14"/>
      <c r="O160" s="14"/>
      <c r="P160" s="14"/>
      <c r="Q160" s="17"/>
      <c r="R160" s="17"/>
      <c r="S160" s="17"/>
      <c r="T160" s="15"/>
      <c r="U160" s="15"/>
      <c r="V160" s="15"/>
      <c r="W160" s="44"/>
      <c r="X160" s="20"/>
      <c r="Y160" s="20"/>
      <c r="Z160" s="20"/>
      <c r="AA160" s="20"/>
      <c r="AB160" s="20"/>
      <c r="AC160" s="20"/>
      <c r="AD160" s="20"/>
      <c r="AE160" s="20"/>
    </row>
    <row r="161" spans="1:31" s="9" customFormat="1" ht="29.25" customHeight="1" x14ac:dyDescent="0.2">
      <c r="A161" s="14" t="s">
        <v>364</v>
      </c>
      <c r="B161" s="54" t="s">
        <v>562</v>
      </c>
      <c r="C161" s="54" t="s">
        <v>735</v>
      </c>
      <c r="D161" s="14"/>
      <c r="E161" s="14"/>
      <c r="F161" s="18"/>
      <c r="G161" s="14"/>
      <c r="H161" s="13"/>
      <c r="I161" s="13"/>
      <c r="J161" s="16"/>
      <c r="K161" s="16"/>
      <c r="L161" s="14"/>
      <c r="M161" s="14"/>
      <c r="N161" s="14"/>
      <c r="O161" s="14"/>
      <c r="P161" s="14"/>
      <c r="Q161" s="17"/>
      <c r="R161" s="17"/>
      <c r="S161" s="17"/>
      <c r="T161" s="15"/>
      <c r="U161" s="15"/>
      <c r="V161" s="15"/>
      <c r="W161" s="44"/>
      <c r="X161" s="20"/>
      <c r="Y161" s="20"/>
      <c r="Z161" s="20"/>
      <c r="AA161" s="20"/>
      <c r="AB161" s="20"/>
      <c r="AC161" s="20"/>
      <c r="AD161" s="20"/>
      <c r="AE161" s="20"/>
    </row>
    <row r="162" spans="1:31" s="9" customFormat="1" ht="29.25" customHeight="1" x14ac:dyDescent="0.2">
      <c r="A162" s="49" t="s">
        <v>365</v>
      </c>
      <c r="B162" s="54" t="s">
        <v>563</v>
      </c>
      <c r="C162" s="54" t="s">
        <v>736</v>
      </c>
      <c r="D162" s="14"/>
      <c r="E162" s="14"/>
      <c r="F162" s="18"/>
      <c r="G162" s="14"/>
      <c r="H162" s="13"/>
      <c r="I162" s="13"/>
      <c r="J162" s="16"/>
      <c r="K162" s="16"/>
      <c r="L162" s="14"/>
      <c r="M162" s="14"/>
      <c r="N162" s="14"/>
      <c r="O162" s="14"/>
      <c r="P162" s="14"/>
      <c r="Q162" s="17"/>
      <c r="R162" s="17"/>
      <c r="S162" s="17"/>
      <c r="T162" s="15"/>
      <c r="U162" s="15"/>
      <c r="V162" s="15"/>
      <c r="W162" s="44"/>
      <c r="X162" s="20"/>
      <c r="Y162" s="20"/>
      <c r="Z162" s="20"/>
      <c r="AA162" s="20"/>
      <c r="AB162" s="20"/>
      <c r="AC162" s="20"/>
      <c r="AD162" s="20"/>
      <c r="AE162" s="20"/>
    </row>
    <row r="163" spans="1:31" s="9" customFormat="1" ht="29.25" customHeight="1" x14ac:dyDescent="0.2">
      <c r="A163" s="23" t="s">
        <v>103</v>
      </c>
      <c r="B163" s="57" t="s">
        <v>380</v>
      </c>
      <c r="C163" s="59" t="s">
        <v>577</v>
      </c>
      <c r="D163" s="14"/>
      <c r="E163" s="14"/>
      <c r="F163" s="18"/>
      <c r="G163" s="14"/>
      <c r="H163" s="13"/>
      <c r="I163" s="13"/>
      <c r="J163" s="16"/>
      <c r="K163" s="16"/>
      <c r="L163" s="14"/>
      <c r="M163" s="14"/>
      <c r="N163" s="14"/>
      <c r="O163" s="14"/>
      <c r="P163" s="14"/>
      <c r="Q163" s="17"/>
      <c r="R163" s="17"/>
      <c r="S163" s="17"/>
      <c r="T163" s="15"/>
      <c r="U163" s="15"/>
      <c r="V163" s="15"/>
      <c r="W163" s="44"/>
      <c r="X163" s="20"/>
      <c r="Y163" s="20"/>
      <c r="Z163" s="20"/>
      <c r="AA163" s="20"/>
      <c r="AB163" s="20"/>
      <c r="AC163" s="20"/>
      <c r="AD163" s="20"/>
      <c r="AE163" s="20"/>
    </row>
    <row r="164" spans="1:31" s="9" customFormat="1" ht="29.25" customHeight="1" x14ac:dyDescent="0.2">
      <c r="A164" s="22" t="s">
        <v>159</v>
      </c>
      <c r="B164" s="54" t="s">
        <v>416</v>
      </c>
      <c r="C164" s="54" t="s">
        <v>605</v>
      </c>
      <c r="D164" s="14"/>
      <c r="E164" s="14"/>
      <c r="F164" s="18"/>
      <c r="G164" s="14"/>
      <c r="H164" s="13"/>
      <c r="I164" s="13"/>
      <c r="J164" s="16"/>
      <c r="K164" s="16"/>
      <c r="L164" s="14"/>
      <c r="M164" s="14"/>
      <c r="N164" s="14"/>
      <c r="O164" s="14"/>
      <c r="P164" s="14"/>
      <c r="Q164" s="17"/>
      <c r="R164" s="17"/>
      <c r="S164" s="17"/>
      <c r="T164" s="15"/>
      <c r="U164" s="15"/>
      <c r="V164" s="15"/>
      <c r="W164" s="44"/>
      <c r="X164" s="20"/>
      <c r="Y164" s="20"/>
      <c r="Z164" s="20"/>
      <c r="AA164" s="20"/>
      <c r="AB164" s="20"/>
      <c r="AC164" s="20"/>
      <c r="AD164" s="20"/>
      <c r="AE164" s="20"/>
    </row>
    <row r="165" spans="1:31" s="9" customFormat="1" ht="29.25" customHeight="1" x14ac:dyDescent="0.2">
      <c r="A165" s="22" t="s">
        <v>207</v>
      </c>
      <c r="B165" s="55" t="s">
        <v>447</v>
      </c>
      <c r="C165" s="54" t="s">
        <v>630</v>
      </c>
      <c r="D165" s="14"/>
      <c r="E165" s="14"/>
      <c r="F165" s="18"/>
      <c r="G165" s="14"/>
      <c r="H165" s="13"/>
      <c r="I165" s="13"/>
      <c r="J165" s="16"/>
      <c r="K165" s="16"/>
      <c r="L165" s="14"/>
      <c r="M165" s="14"/>
      <c r="N165" s="14"/>
      <c r="O165" s="14"/>
      <c r="P165" s="14"/>
      <c r="Q165" s="17"/>
      <c r="R165" s="17"/>
      <c r="S165" s="17"/>
      <c r="T165" s="15"/>
      <c r="U165" s="15"/>
      <c r="V165" s="15"/>
      <c r="W165" s="44"/>
      <c r="X165" s="20"/>
      <c r="Y165" s="20"/>
      <c r="Z165" s="20"/>
      <c r="AA165" s="20"/>
      <c r="AB165" s="20"/>
      <c r="AC165" s="20"/>
      <c r="AD165" s="20"/>
      <c r="AE165" s="20"/>
    </row>
    <row r="166" spans="1:31" s="9" customFormat="1" ht="29.25" customHeight="1" x14ac:dyDescent="0.2">
      <c r="A166" s="23" t="s">
        <v>126</v>
      </c>
      <c r="B166" s="59" t="s">
        <v>395</v>
      </c>
      <c r="C166" s="59" t="s">
        <v>589</v>
      </c>
      <c r="D166" s="14"/>
      <c r="E166" s="14"/>
      <c r="F166" s="18"/>
      <c r="G166" s="14"/>
      <c r="H166" s="13"/>
      <c r="I166" s="13"/>
      <c r="J166" s="16"/>
      <c r="K166" s="16"/>
      <c r="L166" s="14"/>
      <c r="M166" s="14"/>
      <c r="N166" s="14"/>
      <c r="O166" s="14"/>
      <c r="P166" s="14"/>
      <c r="Q166" s="17"/>
      <c r="R166" s="17"/>
      <c r="S166" s="17"/>
      <c r="T166" s="15"/>
      <c r="U166" s="15"/>
      <c r="V166" s="15"/>
      <c r="W166" s="44"/>
      <c r="X166" s="20"/>
      <c r="Y166" s="20"/>
      <c r="Z166" s="20"/>
      <c r="AA166" s="20"/>
      <c r="AB166" s="20"/>
      <c r="AC166" s="20"/>
      <c r="AD166" s="20"/>
      <c r="AE166" s="20"/>
    </row>
    <row r="167" spans="1:31" s="9" customFormat="1" ht="29.25" customHeight="1" x14ac:dyDescent="0.2">
      <c r="A167" s="22" t="s">
        <v>169</v>
      </c>
      <c r="B167" s="54" t="s">
        <v>426</v>
      </c>
      <c r="C167" s="54" t="s">
        <v>612</v>
      </c>
      <c r="D167" s="14"/>
      <c r="E167" s="14"/>
      <c r="F167" s="18"/>
      <c r="G167" s="14"/>
      <c r="H167" s="13"/>
      <c r="I167" s="13"/>
      <c r="J167" s="16"/>
      <c r="K167" s="16"/>
      <c r="L167" s="14"/>
      <c r="M167" s="14"/>
      <c r="N167" s="14"/>
      <c r="O167" s="14"/>
      <c r="P167" s="14"/>
      <c r="Q167" s="17"/>
      <c r="R167" s="17"/>
      <c r="S167" s="17"/>
      <c r="T167" s="15"/>
      <c r="U167" s="15"/>
      <c r="V167" s="15"/>
      <c r="W167" s="44"/>
      <c r="X167" s="20"/>
      <c r="Y167" s="20"/>
      <c r="Z167" s="20"/>
      <c r="AA167" s="20"/>
      <c r="AB167" s="20"/>
      <c r="AC167" s="20"/>
      <c r="AD167" s="20"/>
      <c r="AE167" s="20"/>
    </row>
    <row r="168" spans="1:31" s="9" customFormat="1" ht="29.25" customHeight="1" x14ac:dyDescent="0.2">
      <c r="A168" s="14" t="s">
        <v>241</v>
      </c>
      <c r="B168" s="55" t="s">
        <v>471</v>
      </c>
      <c r="C168" s="54" t="s">
        <v>652</v>
      </c>
      <c r="D168" s="14"/>
      <c r="E168" s="14"/>
      <c r="F168" s="18"/>
      <c r="G168" s="14"/>
      <c r="H168" s="13"/>
      <c r="I168" s="13"/>
      <c r="J168" s="16"/>
      <c r="K168" s="16"/>
      <c r="L168" s="14"/>
      <c r="M168" s="14"/>
      <c r="N168" s="14"/>
      <c r="O168" s="14"/>
      <c r="P168" s="14"/>
      <c r="Q168" s="17"/>
      <c r="R168" s="17"/>
      <c r="S168" s="17"/>
      <c r="T168" s="15"/>
      <c r="U168" s="15"/>
      <c r="V168" s="15"/>
      <c r="W168" s="44"/>
      <c r="X168" s="20"/>
      <c r="Y168" s="20"/>
      <c r="Z168" s="20"/>
      <c r="AA168" s="20"/>
      <c r="AB168" s="20"/>
      <c r="AC168" s="20"/>
      <c r="AD168" s="20"/>
      <c r="AE168" s="20"/>
    </row>
    <row r="169" spans="1:31" s="9" customFormat="1" ht="29.25" customHeight="1" x14ac:dyDescent="0.2">
      <c r="A169" s="23" t="s">
        <v>107</v>
      </c>
      <c r="B169" s="69" t="s">
        <v>384</v>
      </c>
      <c r="C169" s="59" t="s">
        <v>581</v>
      </c>
      <c r="D169" s="14"/>
      <c r="E169" s="14"/>
      <c r="F169" s="18"/>
      <c r="G169" s="14"/>
      <c r="H169" s="13"/>
      <c r="I169" s="13"/>
      <c r="J169" s="16"/>
      <c r="K169" s="16"/>
      <c r="L169" s="14"/>
      <c r="M169" s="14"/>
      <c r="N169" s="14"/>
      <c r="O169" s="14"/>
      <c r="P169" s="14"/>
      <c r="Q169" s="17"/>
      <c r="R169" s="17"/>
      <c r="S169" s="17"/>
      <c r="T169" s="15"/>
      <c r="U169" s="15"/>
      <c r="V169" s="15"/>
      <c r="W169" s="44"/>
      <c r="X169" s="20"/>
      <c r="Y169" s="20"/>
      <c r="Z169" s="20"/>
      <c r="AA169" s="20"/>
      <c r="AB169" s="20"/>
      <c r="AC169" s="20"/>
      <c r="AD169" s="20"/>
      <c r="AE169" s="20"/>
    </row>
    <row r="170" spans="1:31" s="9" customFormat="1" ht="29.25" customHeight="1" x14ac:dyDescent="0.2">
      <c r="A170" s="23" t="s">
        <v>109</v>
      </c>
      <c r="B170" s="59" t="s">
        <v>386</v>
      </c>
      <c r="C170" s="59" t="s">
        <v>77</v>
      </c>
      <c r="D170" s="14"/>
      <c r="E170" s="14"/>
      <c r="F170" s="18"/>
      <c r="G170" s="14"/>
      <c r="H170" s="13"/>
      <c r="I170" s="13"/>
      <c r="J170" s="16"/>
      <c r="K170" s="16"/>
      <c r="L170" s="14"/>
      <c r="M170" s="14"/>
      <c r="N170" s="14"/>
      <c r="O170" s="14"/>
      <c r="P170" s="14"/>
      <c r="Q170" s="17"/>
      <c r="R170" s="17"/>
      <c r="S170" s="17"/>
      <c r="T170" s="15"/>
      <c r="U170" s="15"/>
      <c r="V170" s="15"/>
      <c r="W170" s="44"/>
      <c r="X170" s="20"/>
      <c r="Y170" s="20"/>
      <c r="Z170" s="20"/>
      <c r="AA170" s="20"/>
      <c r="AB170" s="20"/>
      <c r="AC170" s="20"/>
      <c r="AD170" s="20"/>
      <c r="AE170" s="20"/>
    </row>
    <row r="171" spans="1:31" s="9" customFormat="1" ht="29.25" customHeight="1" x14ac:dyDescent="0.2">
      <c r="A171" s="22" t="s">
        <v>173</v>
      </c>
      <c r="B171" s="54" t="s">
        <v>430</v>
      </c>
      <c r="C171" s="54" t="s">
        <v>616</v>
      </c>
      <c r="D171" s="14"/>
      <c r="E171" s="14"/>
      <c r="F171" s="18"/>
      <c r="G171" s="14"/>
      <c r="H171" s="13"/>
      <c r="I171" s="13"/>
      <c r="J171" s="16"/>
      <c r="K171" s="16"/>
      <c r="L171" s="14"/>
      <c r="M171" s="14"/>
      <c r="N171" s="14"/>
      <c r="O171" s="14"/>
      <c r="P171" s="14"/>
      <c r="Q171" s="17"/>
      <c r="R171" s="17"/>
      <c r="S171" s="17"/>
      <c r="T171" s="15"/>
      <c r="U171" s="15"/>
      <c r="V171" s="15"/>
      <c r="W171" s="44"/>
      <c r="X171" s="20"/>
      <c r="Y171" s="20"/>
      <c r="Z171" s="20"/>
      <c r="AA171" s="20"/>
      <c r="AB171" s="20"/>
      <c r="AC171" s="20"/>
      <c r="AD171" s="20"/>
      <c r="AE171" s="20"/>
    </row>
    <row r="172" spans="1:31" s="9" customFormat="1" ht="29.25" customHeight="1" x14ac:dyDescent="0.2">
      <c r="A172" s="23" t="s">
        <v>112</v>
      </c>
      <c r="B172" s="59" t="s">
        <v>388</v>
      </c>
      <c r="C172" s="59" t="s">
        <v>576</v>
      </c>
      <c r="D172" s="14"/>
      <c r="E172" s="14"/>
      <c r="F172" s="18"/>
      <c r="G172" s="14"/>
      <c r="H172" s="13"/>
      <c r="I172" s="13"/>
      <c r="J172" s="16"/>
      <c r="K172" s="16"/>
      <c r="L172" s="14"/>
      <c r="M172" s="14"/>
      <c r="N172" s="14"/>
      <c r="O172" s="14"/>
      <c r="P172" s="14"/>
      <c r="Q172" s="17"/>
      <c r="R172" s="17"/>
      <c r="S172" s="17"/>
      <c r="T172" s="15"/>
      <c r="U172" s="15"/>
      <c r="V172" s="15"/>
      <c r="W172" s="44"/>
      <c r="X172" s="20"/>
      <c r="Y172" s="20"/>
      <c r="Z172" s="20"/>
      <c r="AA172" s="20"/>
      <c r="AB172" s="20"/>
      <c r="AC172" s="20"/>
      <c r="AD172" s="20"/>
      <c r="AE172" s="20"/>
    </row>
    <row r="173" spans="1:31" s="9" customFormat="1" ht="29.25" customHeight="1" x14ac:dyDescent="0.2">
      <c r="A173" s="23" t="s">
        <v>115</v>
      </c>
      <c r="B173" s="59" t="s">
        <v>388</v>
      </c>
      <c r="C173" s="59" t="s">
        <v>576</v>
      </c>
      <c r="D173" s="14"/>
      <c r="E173" s="14"/>
      <c r="F173" s="18"/>
      <c r="G173" s="14"/>
      <c r="H173" s="13"/>
      <c r="I173" s="13"/>
      <c r="J173" s="16"/>
      <c r="K173" s="16"/>
      <c r="L173" s="14"/>
      <c r="M173" s="14"/>
      <c r="N173" s="14"/>
      <c r="O173" s="14"/>
      <c r="P173" s="14"/>
      <c r="Q173" s="17"/>
      <c r="R173" s="17"/>
      <c r="S173" s="17"/>
      <c r="T173" s="15"/>
      <c r="U173" s="15"/>
      <c r="V173" s="15"/>
      <c r="W173" s="44"/>
      <c r="X173" s="20"/>
      <c r="Y173" s="20"/>
      <c r="Z173" s="20"/>
      <c r="AA173" s="20"/>
      <c r="AB173" s="20"/>
      <c r="AC173" s="20"/>
      <c r="AD173" s="20"/>
      <c r="AE173" s="20"/>
    </row>
    <row r="174" spans="1:31" s="9" customFormat="1" ht="29.25" customHeight="1" x14ac:dyDescent="0.2">
      <c r="A174" s="23" t="s">
        <v>119</v>
      </c>
      <c r="B174" s="59" t="s">
        <v>388</v>
      </c>
      <c r="C174" s="59" t="s">
        <v>576</v>
      </c>
      <c r="D174" s="14"/>
      <c r="E174" s="14"/>
      <c r="F174" s="18"/>
      <c r="G174" s="14"/>
      <c r="H174" s="13"/>
      <c r="I174" s="13"/>
      <c r="J174" s="16"/>
      <c r="K174" s="16"/>
      <c r="L174" s="14"/>
      <c r="M174" s="14"/>
      <c r="N174" s="14"/>
      <c r="O174" s="14"/>
      <c r="P174" s="14"/>
      <c r="Q174" s="17"/>
      <c r="R174" s="17"/>
      <c r="S174" s="17"/>
      <c r="T174" s="15"/>
      <c r="U174" s="15"/>
      <c r="V174" s="15"/>
      <c r="W174" s="44"/>
      <c r="X174" s="20"/>
      <c r="Y174" s="20"/>
      <c r="Z174" s="20"/>
      <c r="AA174" s="20"/>
      <c r="AB174" s="20"/>
      <c r="AC174" s="20"/>
      <c r="AD174" s="20"/>
      <c r="AE174" s="20"/>
    </row>
    <row r="175" spans="1:31" s="9" customFormat="1" ht="29.25" customHeight="1" x14ac:dyDescent="0.2">
      <c r="A175" s="23" t="s">
        <v>114</v>
      </c>
      <c r="B175" s="59" t="s">
        <v>388</v>
      </c>
      <c r="C175" s="59" t="s">
        <v>576</v>
      </c>
      <c r="D175" s="14"/>
      <c r="E175" s="14"/>
      <c r="F175" s="18"/>
      <c r="G175" s="14"/>
      <c r="H175" s="13"/>
      <c r="I175" s="13"/>
      <c r="J175" s="16"/>
      <c r="K175" s="16"/>
      <c r="L175" s="14"/>
      <c r="M175" s="14"/>
      <c r="N175" s="14"/>
      <c r="O175" s="14"/>
      <c r="P175" s="14"/>
      <c r="Q175" s="17"/>
      <c r="R175" s="17"/>
      <c r="S175" s="17"/>
      <c r="T175" s="15"/>
      <c r="U175" s="15"/>
      <c r="V175" s="15"/>
      <c r="W175" s="44"/>
      <c r="X175" s="20"/>
      <c r="Y175" s="20"/>
      <c r="Z175" s="20"/>
      <c r="AA175" s="20"/>
      <c r="AB175" s="20"/>
      <c r="AC175" s="20"/>
      <c r="AD175" s="20"/>
      <c r="AE175" s="20"/>
    </row>
    <row r="176" spans="1:31" s="9" customFormat="1" ht="29.25" customHeight="1" x14ac:dyDescent="0.2">
      <c r="A176" s="23" t="s">
        <v>116</v>
      </c>
      <c r="B176" s="59" t="s">
        <v>388</v>
      </c>
      <c r="C176" s="59" t="s">
        <v>576</v>
      </c>
      <c r="D176" s="14"/>
      <c r="E176" s="14"/>
      <c r="F176" s="18"/>
      <c r="G176" s="14"/>
      <c r="H176" s="13"/>
      <c r="I176" s="13"/>
      <c r="J176" s="16"/>
      <c r="K176" s="16"/>
      <c r="L176" s="14"/>
      <c r="M176" s="14"/>
      <c r="N176" s="14"/>
      <c r="O176" s="14"/>
      <c r="P176" s="14"/>
      <c r="Q176" s="17"/>
      <c r="R176" s="17"/>
      <c r="S176" s="17"/>
      <c r="T176" s="15"/>
      <c r="U176" s="15"/>
      <c r="V176" s="15"/>
      <c r="W176" s="44"/>
      <c r="X176" s="20"/>
      <c r="Y176" s="20"/>
      <c r="Z176" s="20"/>
      <c r="AA176" s="20"/>
      <c r="AB176" s="20"/>
      <c r="AC176" s="20"/>
      <c r="AD176" s="20"/>
      <c r="AE176" s="20"/>
    </row>
    <row r="177" spans="1:31" s="9" customFormat="1" ht="29.25" customHeight="1" x14ac:dyDescent="0.2">
      <c r="A177" s="23" t="s">
        <v>117</v>
      </c>
      <c r="B177" s="59" t="s">
        <v>388</v>
      </c>
      <c r="C177" s="59" t="s">
        <v>576</v>
      </c>
      <c r="D177" s="14"/>
      <c r="E177" s="14"/>
      <c r="F177" s="18"/>
      <c r="G177" s="14"/>
      <c r="H177" s="13"/>
      <c r="I177" s="13"/>
      <c r="J177" s="16"/>
      <c r="K177" s="16"/>
      <c r="L177" s="14"/>
      <c r="M177" s="14"/>
      <c r="N177" s="14"/>
      <c r="O177" s="14"/>
      <c r="P177" s="14"/>
      <c r="Q177" s="17"/>
      <c r="R177" s="17"/>
      <c r="S177" s="17"/>
      <c r="T177" s="15"/>
      <c r="U177" s="15"/>
      <c r="V177" s="15"/>
      <c r="W177" s="44"/>
      <c r="X177" s="20"/>
      <c r="Y177" s="20"/>
      <c r="Z177" s="20"/>
      <c r="AA177" s="20"/>
      <c r="AB177" s="20"/>
      <c r="AC177" s="20"/>
      <c r="AD177" s="20"/>
      <c r="AE177" s="20"/>
    </row>
    <row r="178" spans="1:31" s="9" customFormat="1" ht="29.25" customHeight="1" x14ac:dyDescent="0.2">
      <c r="A178" s="23" t="s">
        <v>118</v>
      </c>
      <c r="B178" s="59" t="s">
        <v>388</v>
      </c>
      <c r="C178" s="59" t="s">
        <v>576</v>
      </c>
      <c r="D178" s="14"/>
      <c r="E178" s="14"/>
      <c r="F178" s="18"/>
      <c r="G178" s="14"/>
      <c r="H178" s="13"/>
      <c r="I178" s="13"/>
      <c r="J178" s="16"/>
      <c r="K178" s="16"/>
      <c r="L178" s="14"/>
      <c r="M178" s="14"/>
      <c r="N178" s="14"/>
      <c r="O178" s="14"/>
      <c r="P178" s="14"/>
      <c r="Q178" s="17"/>
      <c r="R178" s="17"/>
      <c r="S178" s="17"/>
      <c r="T178" s="15"/>
      <c r="U178" s="15"/>
      <c r="V178" s="15"/>
      <c r="W178" s="44"/>
      <c r="X178" s="20"/>
      <c r="Y178" s="20"/>
      <c r="Z178" s="20"/>
      <c r="AA178" s="20"/>
      <c r="AB178" s="20"/>
      <c r="AC178" s="20"/>
      <c r="AD178" s="20"/>
      <c r="AE178" s="20"/>
    </row>
    <row r="179" spans="1:31" s="9" customFormat="1" ht="29.25" customHeight="1" x14ac:dyDescent="0.2">
      <c r="A179" s="23" t="s">
        <v>113</v>
      </c>
      <c r="B179" s="59" t="s">
        <v>388</v>
      </c>
      <c r="C179" s="59" t="s">
        <v>576</v>
      </c>
      <c r="D179" s="14"/>
      <c r="E179" s="14"/>
      <c r="F179" s="18"/>
      <c r="G179" s="14"/>
      <c r="H179" s="13"/>
      <c r="I179" s="13"/>
      <c r="J179" s="16"/>
      <c r="K179" s="16"/>
      <c r="L179" s="14"/>
      <c r="M179" s="14"/>
      <c r="N179" s="14"/>
      <c r="O179" s="14"/>
      <c r="P179" s="14"/>
      <c r="Q179" s="17"/>
      <c r="R179" s="17"/>
      <c r="S179" s="17"/>
      <c r="T179" s="15"/>
      <c r="U179" s="15"/>
      <c r="V179" s="15"/>
      <c r="W179" s="44"/>
      <c r="X179" s="20"/>
      <c r="Y179" s="20"/>
      <c r="Z179" s="20"/>
      <c r="AA179" s="20"/>
      <c r="AB179" s="20"/>
      <c r="AC179" s="20"/>
      <c r="AD179" s="20"/>
      <c r="AE179" s="20"/>
    </row>
    <row r="180" spans="1:31" s="9" customFormat="1" ht="29.25" customHeight="1" x14ac:dyDescent="0.2">
      <c r="A180" s="14" t="s">
        <v>245</v>
      </c>
      <c r="B180" s="56" t="s">
        <v>401</v>
      </c>
      <c r="C180" s="54" t="s">
        <v>571</v>
      </c>
      <c r="D180" s="14"/>
      <c r="E180" s="14"/>
      <c r="F180" s="18"/>
      <c r="G180" s="14"/>
      <c r="H180" s="13"/>
      <c r="I180" s="13"/>
      <c r="J180" s="16"/>
      <c r="K180" s="16"/>
      <c r="L180" s="14"/>
      <c r="M180" s="14"/>
      <c r="N180" s="14"/>
      <c r="O180" s="14"/>
      <c r="P180" s="14"/>
      <c r="Q180" s="17"/>
      <c r="R180" s="17"/>
      <c r="S180" s="17"/>
      <c r="T180" s="15"/>
      <c r="U180" s="15"/>
      <c r="V180" s="15"/>
      <c r="W180" s="44"/>
      <c r="X180" s="20"/>
      <c r="Y180" s="20"/>
      <c r="Z180" s="20"/>
      <c r="AA180" s="20"/>
      <c r="AB180" s="20"/>
      <c r="AC180" s="20"/>
      <c r="AD180" s="20"/>
      <c r="AE180" s="20"/>
    </row>
    <row r="181" spans="1:31" s="9" customFormat="1" ht="29.25" customHeight="1" x14ac:dyDescent="0.2">
      <c r="A181" s="49" t="s">
        <v>359</v>
      </c>
      <c r="B181" s="55" t="s">
        <v>558</v>
      </c>
      <c r="C181" s="54" t="s">
        <v>731</v>
      </c>
      <c r="D181" s="14"/>
      <c r="E181" s="14"/>
      <c r="F181" s="18"/>
      <c r="G181" s="14"/>
      <c r="H181" s="13"/>
      <c r="I181" s="13"/>
      <c r="J181" s="16"/>
      <c r="K181" s="16"/>
      <c r="L181" s="14"/>
      <c r="M181" s="14"/>
      <c r="N181" s="14"/>
      <c r="O181" s="14"/>
      <c r="P181" s="14"/>
      <c r="Q181" s="17"/>
      <c r="R181" s="17"/>
      <c r="S181" s="17"/>
      <c r="T181" s="15"/>
      <c r="U181" s="15"/>
      <c r="V181" s="15"/>
      <c r="W181" s="44"/>
      <c r="X181" s="20"/>
      <c r="Y181" s="20"/>
      <c r="Z181" s="20"/>
      <c r="AA181" s="20"/>
      <c r="AB181" s="20"/>
      <c r="AC181" s="20"/>
      <c r="AD181" s="20"/>
      <c r="AE181" s="20"/>
    </row>
    <row r="182" spans="1:31" s="9" customFormat="1" ht="29.25" customHeight="1" x14ac:dyDescent="0.2">
      <c r="A182" s="14" t="s">
        <v>249</v>
      </c>
      <c r="B182" s="54" t="s">
        <v>478</v>
      </c>
      <c r="C182" s="54" t="s">
        <v>656</v>
      </c>
      <c r="D182" s="14"/>
      <c r="E182" s="14"/>
      <c r="F182" s="18"/>
      <c r="G182" s="14"/>
      <c r="H182" s="13"/>
      <c r="I182" s="13"/>
      <c r="J182" s="16"/>
      <c r="K182" s="16"/>
      <c r="L182" s="14"/>
      <c r="M182" s="14"/>
      <c r="N182" s="14"/>
      <c r="O182" s="14"/>
      <c r="P182" s="14"/>
      <c r="Q182" s="17"/>
      <c r="R182" s="17"/>
      <c r="S182" s="17"/>
      <c r="T182" s="15"/>
      <c r="U182" s="15"/>
      <c r="V182" s="15"/>
      <c r="W182" s="44"/>
      <c r="X182" s="20"/>
      <c r="Y182" s="20"/>
      <c r="Z182" s="20"/>
      <c r="AA182" s="20"/>
      <c r="AB182" s="20"/>
      <c r="AC182" s="20"/>
      <c r="AD182" s="20"/>
      <c r="AE182" s="20"/>
    </row>
    <row r="183" spans="1:31" s="9" customFormat="1" ht="29.25" customHeight="1" x14ac:dyDescent="0.2">
      <c r="A183" s="22" t="s">
        <v>213</v>
      </c>
      <c r="B183" s="56" t="s">
        <v>453</v>
      </c>
      <c r="C183" s="65"/>
      <c r="D183" s="14"/>
      <c r="E183" s="14"/>
      <c r="F183" s="18"/>
      <c r="G183" s="14"/>
      <c r="H183" s="13"/>
      <c r="I183" s="13"/>
      <c r="J183" s="16"/>
      <c r="K183" s="16"/>
      <c r="L183" s="14"/>
      <c r="M183" s="14"/>
      <c r="N183" s="14"/>
      <c r="O183" s="14"/>
      <c r="P183" s="14"/>
      <c r="Q183" s="17"/>
      <c r="R183" s="17"/>
      <c r="S183" s="17"/>
      <c r="T183" s="15"/>
      <c r="U183" s="15"/>
      <c r="V183" s="15"/>
      <c r="W183" s="44"/>
      <c r="X183" s="20"/>
      <c r="Y183" s="20"/>
      <c r="Z183" s="20"/>
      <c r="AA183" s="20"/>
      <c r="AB183" s="20"/>
      <c r="AC183" s="20"/>
      <c r="AD183" s="20"/>
      <c r="AE183" s="20"/>
    </row>
    <row r="184" spans="1:31" s="9" customFormat="1" ht="29.25" customHeight="1" x14ac:dyDescent="0.2">
      <c r="A184" s="14" t="s">
        <v>251</v>
      </c>
      <c r="B184" s="56" t="s">
        <v>480</v>
      </c>
      <c r="C184" s="54" t="s">
        <v>658</v>
      </c>
      <c r="D184" s="14"/>
      <c r="E184" s="14"/>
      <c r="F184" s="18"/>
      <c r="G184" s="14"/>
      <c r="H184" s="13"/>
      <c r="I184" s="13"/>
      <c r="J184" s="16"/>
      <c r="K184" s="16"/>
      <c r="L184" s="14"/>
      <c r="M184" s="14"/>
      <c r="N184" s="14"/>
      <c r="O184" s="14"/>
      <c r="P184" s="14"/>
      <c r="Q184" s="17"/>
      <c r="R184" s="17"/>
      <c r="S184" s="17"/>
      <c r="T184" s="15"/>
      <c r="U184" s="15"/>
      <c r="V184" s="15"/>
      <c r="W184" s="44"/>
      <c r="X184" s="20"/>
      <c r="Y184" s="20"/>
      <c r="Z184" s="20"/>
      <c r="AA184" s="20"/>
      <c r="AB184" s="20"/>
      <c r="AC184" s="20"/>
      <c r="AD184" s="20"/>
      <c r="AE184" s="20"/>
    </row>
    <row r="185" spans="1:31" s="9" customFormat="1" ht="29.25" customHeight="1" x14ac:dyDescent="0.2">
      <c r="A185" s="14" t="s">
        <v>253</v>
      </c>
      <c r="B185" s="54" t="s">
        <v>477</v>
      </c>
      <c r="C185" s="54"/>
      <c r="D185" s="14"/>
      <c r="E185" s="14"/>
      <c r="F185" s="18"/>
      <c r="G185" s="14"/>
      <c r="H185" s="13"/>
      <c r="I185" s="13"/>
      <c r="J185" s="16"/>
      <c r="K185" s="16"/>
      <c r="L185" s="14"/>
      <c r="M185" s="14"/>
      <c r="N185" s="14"/>
      <c r="O185" s="14"/>
      <c r="P185" s="14"/>
      <c r="Q185" s="17"/>
      <c r="R185" s="17"/>
      <c r="S185" s="17"/>
      <c r="T185" s="15"/>
      <c r="U185" s="15"/>
      <c r="V185" s="15"/>
      <c r="W185" s="44"/>
      <c r="X185" s="20"/>
      <c r="Y185" s="20"/>
      <c r="Z185" s="20"/>
      <c r="AA185" s="20"/>
      <c r="AB185" s="20"/>
      <c r="AC185" s="20"/>
      <c r="AD185" s="20"/>
      <c r="AE185" s="20"/>
    </row>
    <row r="186" spans="1:31" s="9" customFormat="1" ht="29.25" customHeight="1" x14ac:dyDescent="0.2">
      <c r="A186" s="14" t="s">
        <v>254</v>
      </c>
      <c r="B186" s="54" t="s">
        <v>482</v>
      </c>
      <c r="C186" s="54" t="s">
        <v>614</v>
      </c>
      <c r="D186" s="14"/>
      <c r="E186" s="14"/>
      <c r="F186" s="18"/>
      <c r="G186" s="14"/>
      <c r="H186" s="13"/>
      <c r="I186" s="13"/>
      <c r="J186" s="16"/>
      <c r="K186" s="16"/>
      <c r="L186" s="14"/>
      <c r="M186" s="14"/>
      <c r="N186" s="14"/>
      <c r="O186" s="14"/>
      <c r="P186" s="14"/>
      <c r="Q186" s="17"/>
      <c r="R186" s="17"/>
      <c r="S186" s="17"/>
      <c r="T186" s="15"/>
      <c r="U186" s="15"/>
      <c r="V186" s="15"/>
      <c r="W186" s="44"/>
      <c r="X186" s="20"/>
      <c r="Y186" s="20"/>
      <c r="Z186" s="20"/>
      <c r="AA186" s="20"/>
      <c r="AB186" s="20"/>
      <c r="AC186" s="20"/>
      <c r="AD186" s="20"/>
      <c r="AE186" s="20"/>
    </row>
    <row r="187" spans="1:31" s="9" customFormat="1" ht="29.25" customHeight="1" x14ac:dyDescent="0.2">
      <c r="A187" s="14" t="s">
        <v>256</v>
      </c>
      <c r="B187" s="54" t="s">
        <v>484</v>
      </c>
      <c r="C187" s="54" t="s">
        <v>661</v>
      </c>
      <c r="D187" s="14"/>
      <c r="E187" s="14"/>
      <c r="F187" s="18"/>
      <c r="G187" s="14"/>
      <c r="H187" s="13"/>
      <c r="I187" s="13"/>
      <c r="J187" s="16"/>
      <c r="K187" s="16"/>
      <c r="L187" s="14"/>
      <c r="M187" s="14"/>
      <c r="N187" s="14"/>
      <c r="O187" s="14"/>
      <c r="P187" s="14"/>
      <c r="Q187" s="17"/>
      <c r="R187" s="17"/>
      <c r="S187" s="17"/>
      <c r="T187" s="15"/>
      <c r="U187" s="15"/>
      <c r="V187" s="15"/>
      <c r="W187" s="44"/>
      <c r="X187" s="20"/>
      <c r="Y187" s="20"/>
      <c r="Z187" s="20"/>
      <c r="AA187" s="20"/>
      <c r="AB187" s="20"/>
      <c r="AC187" s="20"/>
      <c r="AD187" s="20"/>
      <c r="AE187" s="20"/>
    </row>
    <row r="188" spans="1:31" s="9" customFormat="1" ht="29.25" customHeight="1" x14ac:dyDescent="0.2">
      <c r="A188" s="14" t="s">
        <v>257</v>
      </c>
      <c r="B188" s="54" t="s">
        <v>485</v>
      </c>
      <c r="C188" s="54" t="s">
        <v>662</v>
      </c>
      <c r="D188" s="14"/>
      <c r="E188" s="14"/>
      <c r="F188" s="18"/>
      <c r="G188" s="14"/>
      <c r="H188" s="13"/>
      <c r="I188" s="13"/>
      <c r="J188" s="16"/>
      <c r="K188" s="16"/>
      <c r="L188" s="14"/>
      <c r="M188" s="14"/>
      <c r="N188" s="14"/>
      <c r="O188" s="14"/>
      <c r="P188" s="14"/>
      <c r="Q188" s="17"/>
      <c r="R188" s="17"/>
      <c r="S188" s="17"/>
      <c r="T188" s="15"/>
      <c r="U188" s="15"/>
      <c r="V188" s="15"/>
      <c r="W188" s="44"/>
      <c r="X188" s="20"/>
      <c r="Y188" s="20"/>
      <c r="Z188" s="20"/>
      <c r="AA188" s="20"/>
      <c r="AB188" s="20"/>
      <c r="AC188" s="20"/>
      <c r="AD188" s="20"/>
      <c r="AE188" s="20"/>
    </row>
    <row r="189" spans="1:31" s="9" customFormat="1" ht="29.25" customHeight="1" x14ac:dyDescent="0.2">
      <c r="A189" s="14" t="s">
        <v>258</v>
      </c>
      <c r="B189" s="56" t="s">
        <v>486</v>
      </c>
      <c r="C189" s="54" t="s">
        <v>663</v>
      </c>
      <c r="D189" s="14"/>
      <c r="E189" s="14"/>
      <c r="F189" s="18"/>
      <c r="G189" s="14"/>
      <c r="H189" s="13"/>
      <c r="I189" s="13"/>
      <c r="J189" s="16"/>
      <c r="K189" s="16"/>
      <c r="L189" s="14"/>
      <c r="M189" s="14"/>
      <c r="N189" s="14"/>
      <c r="O189" s="14"/>
      <c r="P189" s="14"/>
      <c r="Q189" s="17"/>
      <c r="R189" s="17"/>
      <c r="S189" s="17"/>
      <c r="T189" s="15"/>
      <c r="U189" s="15"/>
      <c r="V189" s="15"/>
      <c r="W189" s="44"/>
      <c r="X189" s="20"/>
      <c r="Y189" s="20"/>
      <c r="Z189" s="20"/>
      <c r="AA189" s="20"/>
      <c r="AB189" s="20"/>
      <c r="AC189" s="20"/>
      <c r="AD189" s="20"/>
      <c r="AE189" s="20"/>
    </row>
    <row r="190" spans="1:31" s="9" customFormat="1" ht="29.25" customHeight="1" x14ac:dyDescent="0.2">
      <c r="A190" s="14" t="s">
        <v>260</v>
      </c>
      <c r="B190" s="54" t="s">
        <v>488</v>
      </c>
      <c r="C190" s="54" t="s">
        <v>665</v>
      </c>
      <c r="D190" s="14"/>
      <c r="E190" s="14"/>
      <c r="F190" s="18"/>
      <c r="G190" s="14"/>
      <c r="H190" s="13"/>
      <c r="I190" s="13"/>
      <c r="J190" s="16"/>
      <c r="K190" s="16"/>
      <c r="L190" s="14"/>
      <c r="M190" s="14"/>
      <c r="N190" s="14"/>
      <c r="O190" s="14"/>
      <c r="P190" s="14"/>
      <c r="Q190" s="17"/>
      <c r="R190" s="17"/>
      <c r="S190" s="17"/>
      <c r="T190" s="15"/>
      <c r="U190" s="15"/>
      <c r="V190" s="15"/>
      <c r="W190" s="44"/>
      <c r="X190" s="20"/>
      <c r="Y190" s="20"/>
      <c r="Z190" s="20"/>
      <c r="AA190" s="20"/>
      <c r="AB190" s="20"/>
      <c r="AC190" s="20"/>
      <c r="AD190" s="20"/>
      <c r="AE190" s="20"/>
    </row>
    <row r="191" spans="1:31" s="9" customFormat="1" ht="29.25" customHeight="1" x14ac:dyDescent="0.2">
      <c r="A191" s="14" t="s">
        <v>261</v>
      </c>
      <c r="B191" s="54" t="s">
        <v>489</v>
      </c>
      <c r="C191" s="54" t="s">
        <v>666</v>
      </c>
      <c r="D191" s="14"/>
      <c r="E191" s="14"/>
      <c r="F191" s="18"/>
      <c r="G191" s="14"/>
      <c r="H191" s="13"/>
      <c r="I191" s="13"/>
      <c r="J191" s="16"/>
      <c r="K191" s="16"/>
      <c r="L191" s="14"/>
      <c r="M191" s="14"/>
      <c r="N191" s="14"/>
      <c r="O191" s="14"/>
      <c r="P191" s="14"/>
      <c r="Q191" s="17"/>
      <c r="R191" s="17"/>
      <c r="S191" s="17"/>
      <c r="T191" s="15"/>
      <c r="U191" s="15"/>
      <c r="V191" s="15"/>
      <c r="W191" s="44"/>
      <c r="X191" s="20"/>
      <c r="Y191" s="20"/>
      <c r="Z191" s="20"/>
      <c r="AA191" s="20"/>
      <c r="AB191" s="20"/>
      <c r="AC191" s="20"/>
      <c r="AD191" s="20"/>
      <c r="AE191" s="20"/>
    </row>
    <row r="192" spans="1:31" s="9" customFormat="1" ht="29.25" customHeight="1" x14ac:dyDescent="0.2">
      <c r="A192" s="14" t="s">
        <v>310</v>
      </c>
      <c r="B192" s="56" t="s">
        <v>310</v>
      </c>
      <c r="C192" s="54" t="s">
        <v>703</v>
      </c>
      <c r="D192" s="14"/>
      <c r="E192" s="14"/>
      <c r="F192" s="18"/>
      <c r="G192" s="14"/>
      <c r="H192" s="13"/>
      <c r="I192" s="13"/>
      <c r="J192" s="16"/>
      <c r="K192" s="16"/>
      <c r="L192" s="14"/>
      <c r="M192" s="14"/>
      <c r="N192" s="14"/>
      <c r="O192" s="14"/>
      <c r="P192" s="14"/>
      <c r="Q192" s="17"/>
      <c r="R192" s="17"/>
      <c r="S192" s="17"/>
      <c r="T192" s="15"/>
      <c r="U192" s="15"/>
      <c r="V192" s="15"/>
      <c r="W192" s="44"/>
      <c r="X192" s="20"/>
      <c r="Y192" s="20"/>
      <c r="Z192" s="20"/>
      <c r="AA192" s="20"/>
      <c r="AB192" s="20"/>
      <c r="AC192" s="20"/>
      <c r="AD192" s="20"/>
      <c r="AE192" s="20"/>
    </row>
    <row r="193" spans="1:31" s="9" customFormat="1" ht="29.25" customHeight="1" x14ac:dyDescent="0.2">
      <c r="A193" s="22" t="s">
        <v>219</v>
      </c>
      <c r="B193" s="54" t="s">
        <v>459</v>
      </c>
      <c r="C193" s="54" t="s">
        <v>639</v>
      </c>
      <c r="D193" s="14"/>
      <c r="E193" s="14"/>
      <c r="F193" s="18"/>
      <c r="G193" s="14"/>
      <c r="H193" s="13"/>
      <c r="I193" s="13"/>
      <c r="J193" s="16"/>
      <c r="K193" s="16"/>
      <c r="L193" s="14"/>
      <c r="M193" s="14"/>
      <c r="N193" s="14"/>
      <c r="O193" s="14"/>
      <c r="P193" s="14"/>
      <c r="Q193" s="17"/>
      <c r="R193" s="17"/>
      <c r="S193" s="17"/>
      <c r="T193" s="15"/>
      <c r="U193" s="15"/>
      <c r="V193" s="15"/>
      <c r="W193" s="44"/>
      <c r="X193" s="20"/>
      <c r="Y193" s="20"/>
      <c r="Z193" s="20"/>
      <c r="AA193" s="20"/>
      <c r="AB193" s="20"/>
      <c r="AC193" s="20"/>
      <c r="AD193" s="20"/>
      <c r="AE193" s="20"/>
    </row>
    <row r="194" spans="1:31" s="9" customFormat="1" ht="29.25" customHeight="1" x14ac:dyDescent="0.2">
      <c r="A194" s="14" t="s">
        <v>228</v>
      </c>
      <c r="B194" s="59" t="s">
        <v>464</v>
      </c>
      <c r="C194" s="66"/>
      <c r="D194" s="14"/>
      <c r="E194" s="14"/>
      <c r="F194" s="18"/>
      <c r="G194" s="14"/>
      <c r="H194" s="13"/>
      <c r="I194" s="13"/>
      <c r="J194" s="16"/>
      <c r="K194" s="16"/>
      <c r="L194" s="14"/>
      <c r="M194" s="14"/>
      <c r="N194" s="14"/>
      <c r="O194" s="14"/>
      <c r="P194" s="14"/>
      <c r="Q194" s="17"/>
      <c r="R194" s="17"/>
      <c r="S194" s="17"/>
      <c r="T194" s="15"/>
      <c r="U194" s="15"/>
      <c r="V194" s="15"/>
      <c r="W194" s="44"/>
      <c r="X194" s="20"/>
      <c r="Y194" s="20"/>
      <c r="Z194" s="20"/>
      <c r="AA194" s="20"/>
      <c r="AB194" s="20"/>
      <c r="AC194" s="20"/>
      <c r="AD194" s="20"/>
      <c r="AE194" s="20"/>
    </row>
    <row r="195" spans="1:31" s="9" customFormat="1" ht="29.25" customHeight="1" x14ac:dyDescent="0.2">
      <c r="A195" s="14" t="s">
        <v>229</v>
      </c>
      <c r="B195" s="59" t="s">
        <v>464</v>
      </c>
      <c r="C195" s="66"/>
      <c r="D195" s="14"/>
      <c r="E195" s="14"/>
      <c r="F195" s="18"/>
      <c r="G195" s="14"/>
      <c r="H195" s="13"/>
      <c r="I195" s="13"/>
      <c r="J195" s="16"/>
      <c r="K195" s="16"/>
      <c r="L195" s="14"/>
      <c r="M195" s="14"/>
      <c r="N195" s="14"/>
      <c r="O195" s="14"/>
      <c r="P195" s="14"/>
      <c r="Q195" s="17"/>
      <c r="R195" s="17"/>
      <c r="S195" s="17"/>
      <c r="T195" s="15"/>
      <c r="U195" s="15"/>
      <c r="V195" s="15"/>
      <c r="W195" s="44"/>
      <c r="X195" s="20"/>
      <c r="Y195" s="20"/>
      <c r="Z195" s="20"/>
      <c r="AA195" s="20"/>
      <c r="AB195" s="20"/>
      <c r="AC195" s="20"/>
      <c r="AD195" s="20"/>
      <c r="AE195" s="20"/>
    </row>
    <row r="196" spans="1:31" s="9" customFormat="1" ht="29.25" customHeight="1" x14ac:dyDescent="0.2">
      <c r="A196" s="22" t="s">
        <v>226</v>
      </c>
      <c r="B196" s="55" t="s">
        <v>463</v>
      </c>
      <c r="C196" s="54" t="s">
        <v>645</v>
      </c>
      <c r="D196" s="14"/>
      <c r="E196" s="14"/>
      <c r="F196" s="18"/>
      <c r="G196" s="14"/>
      <c r="H196" s="13"/>
      <c r="I196" s="13"/>
      <c r="J196" s="16"/>
      <c r="K196" s="16"/>
      <c r="L196" s="14"/>
      <c r="M196" s="14"/>
      <c r="N196" s="14"/>
      <c r="O196" s="14"/>
      <c r="P196" s="14"/>
      <c r="Q196" s="17"/>
      <c r="R196" s="17"/>
      <c r="S196" s="17"/>
      <c r="T196" s="15"/>
      <c r="U196" s="15"/>
      <c r="V196" s="15"/>
      <c r="W196" s="44"/>
      <c r="X196" s="20"/>
      <c r="Y196" s="20"/>
      <c r="Z196" s="20"/>
      <c r="AA196" s="20"/>
      <c r="AB196" s="20"/>
      <c r="AC196" s="20"/>
      <c r="AD196" s="20"/>
      <c r="AE196" s="20"/>
    </row>
    <row r="197" spans="1:31" s="9" customFormat="1" ht="29.25" customHeight="1" x14ac:dyDescent="0.2">
      <c r="A197" s="14" t="s">
        <v>296</v>
      </c>
      <c r="B197" s="54" t="s">
        <v>520</v>
      </c>
      <c r="C197" s="54" t="s">
        <v>695</v>
      </c>
      <c r="D197" s="14"/>
      <c r="E197" s="14"/>
      <c r="F197" s="18"/>
      <c r="G197" s="14"/>
      <c r="H197" s="13"/>
      <c r="I197" s="13"/>
      <c r="J197" s="16"/>
      <c r="K197" s="16"/>
      <c r="L197" s="14"/>
      <c r="M197" s="14"/>
      <c r="N197" s="14"/>
      <c r="O197" s="14"/>
      <c r="P197" s="14"/>
      <c r="Q197" s="17"/>
      <c r="R197" s="17"/>
      <c r="S197" s="17"/>
      <c r="T197" s="15"/>
      <c r="U197" s="15"/>
      <c r="V197" s="15"/>
      <c r="W197" s="44"/>
      <c r="X197" s="20"/>
      <c r="Y197" s="20"/>
      <c r="Z197" s="20"/>
      <c r="AA197" s="20"/>
      <c r="AB197" s="20"/>
      <c r="AC197" s="20"/>
      <c r="AD197" s="20"/>
      <c r="AE197" s="20"/>
    </row>
    <row r="198" spans="1:31" s="9" customFormat="1" ht="29.25" customHeight="1" x14ac:dyDescent="0.2">
      <c r="A198" s="22" t="s">
        <v>163</v>
      </c>
      <c r="B198" s="55" t="s">
        <v>420</v>
      </c>
      <c r="C198" s="54" t="s">
        <v>608</v>
      </c>
      <c r="D198" s="14"/>
      <c r="E198" s="14"/>
      <c r="F198" s="18"/>
      <c r="G198" s="14"/>
      <c r="H198" s="13"/>
      <c r="I198" s="13"/>
      <c r="J198" s="16"/>
      <c r="K198" s="16"/>
      <c r="L198" s="14"/>
      <c r="M198" s="14"/>
      <c r="N198" s="14"/>
      <c r="O198" s="14"/>
      <c r="P198" s="14"/>
      <c r="Q198" s="17"/>
      <c r="R198" s="17"/>
      <c r="S198" s="17"/>
      <c r="T198" s="15"/>
      <c r="U198" s="15"/>
      <c r="V198" s="15"/>
      <c r="W198" s="44"/>
      <c r="X198" s="20"/>
      <c r="Y198" s="20"/>
      <c r="Z198" s="20"/>
      <c r="AA198" s="20"/>
      <c r="AB198" s="20"/>
      <c r="AC198" s="20"/>
      <c r="AD198" s="20"/>
      <c r="AE198" s="20"/>
    </row>
    <row r="199" spans="1:31" s="9" customFormat="1" ht="29.25" customHeight="1" x14ac:dyDescent="0.2">
      <c r="A199" s="14" t="s">
        <v>357</v>
      </c>
      <c r="B199" s="56" t="s">
        <v>441</v>
      </c>
      <c r="C199" s="54"/>
      <c r="D199" s="14"/>
      <c r="E199" s="14"/>
      <c r="F199" s="18"/>
      <c r="G199" s="14"/>
      <c r="H199" s="13"/>
      <c r="I199" s="13"/>
      <c r="J199" s="16"/>
      <c r="K199" s="16"/>
      <c r="L199" s="14"/>
      <c r="M199" s="14"/>
      <c r="N199" s="14"/>
      <c r="O199" s="14"/>
      <c r="P199" s="14"/>
      <c r="Q199" s="17"/>
      <c r="R199" s="17"/>
      <c r="S199" s="17"/>
      <c r="T199" s="15"/>
      <c r="U199" s="15"/>
      <c r="V199" s="15"/>
      <c r="W199" s="44"/>
      <c r="X199" s="20"/>
      <c r="Y199" s="20"/>
      <c r="Z199" s="20"/>
      <c r="AA199" s="20"/>
      <c r="AB199" s="20"/>
      <c r="AC199" s="20"/>
      <c r="AD199" s="20"/>
      <c r="AE199" s="20"/>
    </row>
    <row r="200" spans="1:31" s="9" customFormat="1" ht="29.25" customHeight="1" x14ac:dyDescent="0.2">
      <c r="A200" s="14" t="s">
        <v>358</v>
      </c>
      <c r="B200" s="56" t="s">
        <v>441</v>
      </c>
      <c r="C200" s="54"/>
      <c r="D200" s="14"/>
      <c r="E200" s="14"/>
      <c r="F200" s="18"/>
      <c r="G200" s="14"/>
      <c r="H200" s="13"/>
      <c r="I200" s="13"/>
      <c r="J200" s="16"/>
      <c r="K200" s="16"/>
      <c r="L200" s="14"/>
      <c r="M200" s="14"/>
      <c r="N200" s="14"/>
      <c r="O200" s="14"/>
      <c r="P200" s="14"/>
      <c r="Q200" s="17"/>
      <c r="R200" s="17"/>
      <c r="S200" s="17"/>
      <c r="T200" s="15"/>
      <c r="U200" s="15"/>
      <c r="V200" s="15"/>
      <c r="W200" s="44"/>
      <c r="X200" s="20"/>
      <c r="Y200" s="20"/>
      <c r="Z200" s="20"/>
      <c r="AA200" s="20"/>
      <c r="AB200" s="20"/>
      <c r="AC200" s="20"/>
      <c r="AD200" s="20"/>
      <c r="AE200" s="20"/>
    </row>
    <row r="201" spans="1:31" s="9" customFormat="1" ht="29.25" customHeight="1" x14ac:dyDescent="0.2">
      <c r="A201" s="14" t="s">
        <v>312</v>
      </c>
      <c r="B201" s="56" t="s">
        <v>530</v>
      </c>
      <c r="C201" s="54" t="s">
        <v>705</v>
      </c>
      <c r="D201" s="14"/>
      <c r="E201" s="14"/>
      <c r="F201" s="18"/>
      <c r="G201" s="14"/>
      <c r="H201" s="13"/>
      <c r="I201" s="13"/>
      <c r="J201" s="16"/>
      <c r="K201" s="16"/>
      <c r="L201" s="14"/>
      <c r="M201" s="14"/>
      <c r="N201" s="14"/>
      <c r="O201" s="14"/>
      <c r="P201" s="14"/>
      <c r="Q201" s="17"/>
      <c r="R201" s="17"/>
      <c r="S201" s="17"/>
      <c r="T201" s="15"/>
      <c r="U201" s="15"/>
      <c r="V201" s="15"/>
      <c r="W201" s="44"/>
      <c r="X201" s="20"/>
      <c r="Y201" s="20"/>
      <c r="Z201" s="20"/>
      <c r="AA201" s="20"/>
      <c r="AB201" s="20"/>
      <c r="AC201" s="20"/>
      <c r="AD201" s="20"/>
      <c r="AE201" s="20"/>
    </row>
    <row r="202" spans="1:31" s="9" customFormat="1" ht="29.25" customHeight="1" x14ac:dyDescent="0.2">
      <c r="A202" s="14" t="s">
        <v>280</v>
      </c>
      <c r="B202" s="54" t="s">
        <v>506</v>
      </c>
      <c r="C202" s="54" t="s">
        <v>681</v>
      </c>
      <c r="D202" s="14"/>
      <c r="E202" s="14"/>
      <c r="F202" s="18"/>
      <c r="G202" s="14"/>
      <c r="H202" s="13"/>
      <c r="I202" s="13"/>
      <c r="J202" s="16"/>
      <c r="K202" s="16"/>
      <c r="L202" s="14"/>
      <c r="M202" s="14"/>
      <c r="N202" s="14"/>
      <c r="O202" s="14"/>
      <c r="P202" s="14"/>
      <c r="Q202" s="17"/>
      <c r="R202" s="17"/>
      <c r="S202" s="17"/>
      <c r="T202" s="15"/>
      <c r="U202" s="15"/>
      <c r="V202" s="15"/>
      <c r="W202" s="44"/>
      <c r="X202" s="20"/>
      <c r="Y202" s="20"/>
      <c r="Z202" s="20"/>
      <c r="AA202" s="20"/>
      <c r="AB202" s="20"/>
      <c r="AC202" s="20"/>
      <c r="AD202" s="20"/>
      <c r="AE202" s="20"/>
    </row>
    <row r="203" spans="1:31" s="9" customFormat="1" ht="29.25" customHeight="1" x14ac:dyDescent="0.2">
      <c r="A203" s="14" t="s">
        <v>230</v>
      </c>
      <c r="B203" s="57" t="s">
        <v>464</v>
      </c>
      <c r="C203" s="66"/>
      <c r="D203" s="14"/>
      <c r="E203" s="14"/>
      <c r="F203" s="18"/>
      <c r="G203" s="14"/>
      <c r="H203" s="13"/>
      <c r="I203" s="13"/>
      <c r="J203" s="16"/>
      <c r="K203" s="16"/>
      <c r="L203" s="14"/>
      <c r="M203" s="14"/>
      <c r="N203" s="14"/>
      <c r="O203" s="14"/>
      <c r="P203" s="14"/>
      <c r="Q203" s="17"/>
      <c r="R203" s="17"/>
      <c r="S203" s="17"/>
      <c r="T203" s="15"/>
      <c r="U203" s="15"/>
      <c r="V203" s="15"/>
      <c r="W203" s="44"/>
      <c r="X203" s="20"/>
      <c r="Y203" s="20"/>
      <c r="Z203" s="20"/>
      <c r="AA203" s="20"/>
      <c r="AB203" s="20"/>
      <c r="AC203" s="20"/>
      <c r="AD203" s="20"/>
      <c r="AE203" s="20"/>
    </row>
    <row r="204" spans="1:31" s="9" customFormat="1" ht="29.25" customHeight="1" x14ac:dyDescent="0.2">
      <c r="A204" s="14" t="s">
        <v>231</v>
      </c>
      <c r="B204" s="57" t="s">
        <v>464</v>
      </c>
      <c r="C204" s="66"/>
      <c r="D204" s="14"/>
      <c r="E204" s="14"/>
      <c r="F204" s="18"/>
      <c r="G204" s="14"/>
      <c r="H204" s="13"/>
      <c r="I204" s="13"/>
      <c r="J204" s="16"/>
      <c r="K204" s="16"/>
      <c r="L204" s="14"/>
      <c r="M204" s="14"/>
      <c r="N204" s="14"/>
      <c r="O204" s="14"/>
      <c r="P204" s="14"/>
      <c r="Q204" s="17"/>
      <c r="R204" s="17"/>
      <c r="S204" s="17"/>
      <c r="T204" s="15"/>
      <c r="U204" s="15"/>
      <c r="V204" s="15"/>
      <c r="W204" s="44"/>
      <c r="X204" s="20"/>
      <c r="Y204" s="20"/>
      <c r="Z204" s="20"/>
      <c r="AA204" s="20"/>
      <c r="AB204" s="20"/>
      <c r="AC204" s="20"/>
      <c r="AD204" s="20"/>
      <c r="AE204" s="20"/>
    </row>
    <row r="205" spans="1:31" s="9" customFormat="1" ht="29.25" customHeight="1" x14ac:dyDescent="0.2">
      <c r="A205" s="14" t="s">
        <v>234</v>
      </c>
      <c r="B205" s="59" t="s">
        <v>464</v>
      </c>
      <c r="C205" s="66"/>
      <c r="D205" s="14"/>
      <c r="E205" s="14"/>
      <c r="F205" s="18"/>
      <c r="G205" s="14"/>
      <c r="H205" s="13"/>
      <c r="I205" s="13"/>
      <c r="J205" s="16"/>
      <c r="K205" s="16"/>
      <c r="L205" s="14"/>
      <c r="M205" s="14"/>
      <c r="N205" s="14"/>
      <c r="O205" s="14"/>
      <c r="P205" s="14"/>
      <c r="Q205" s="17"/>
      <c r="R205" s="17"/>
      <c r="S205" s="17"/>
      <c r="T205" s="15"/>
      <c r="U205" s="15"/>
      <c r="V205" s="15"/>
      <c r="W205" s="44"/>
      <c r="X205" s="20"/>
      <c r="Y205" s="20"/>
      <c r="Z205" s="20"/>
      <c r="AA205" s="20"/>
      <c r="AB205" s="20"/>
      <c r="AC205" s="20"/>
      <c r="AD205" s="20"/>
      <c r="AE205" s="20"/>
    </row>
    <row r="206" spans="1:31" s="9" customFormat="1" ht="29.25" customHeight="1" x14ac:dyDescent="0.2">
      <c r="A206" s="14" t="s">
        <v>313</v>
      </c>
      <c r="B206" s="56" t="s">
        <v>441</v>
      </c>
      <c r="C206" s="54"/>
      <c r="D206" s="14"/>
      <c r="E206" s="14"/>
      <c r="F206" s="18"/>
      <c r="G206" s="14"/>
      <c r="H206" s="13"/>
      <c r="I206" s="13"/>
      <c r="J206" s="16"/>
      <c r="K206" s="16"/>
      <c r="L206" s="14"/>
      <c r="M206" s="14"/>
      <c r="N206" s="14"/>
      <c r="O206" s="14"/>
      <c r="P206" s="14"/>
      <c r="Q206" s="17"/>
      <c r="R206" s="17"/>
      <c r="S206" s="17"/>
      <c r="T206" s="15"/>
      <c r="U206" s="15"/>
      <c r="V206" s="15"/>
      <c r="W206" s="44"/>
      <c r="X206" s="20"/>
      <c r="Y206" s="20"/>
      <c r="Z206" s="20"/>
      <c r="AA206" s="20"/>
      <c r="AB206" s="20"/>
      <c r="AC206" s="20"/>
      <c r="AD206" s="20"/>
      <c r="AE206" s="20"/>
    </row>
    <row r="207" spans="1:31" s="9" customFormat="1" ht="29.25" customHeight="1" x14ac:dyDescent="0.2">
      <c r="A207" s="22" t="s">
        <v>201</v>
      </c>
      <c r="B207" s="56" t="s">
        <v>441</v>
      </c>
      <c r="C207" s="66"/>
      <c r="D207" s="14"/>
      <c r="E207" s="14"/>
      <c r="F207" s="18"/>
      <c r="G207" s="14"/>
      <c r="H207" s="13"/>
      <c r="I207" s="13"/>
      <c r="J207" s="16"/>
      <c r="K207" s="16"/>
      <c r="L207" s="14"/>
      <c r="M207" s="14"/>
      <c r="N207" s="14"/>
      <c r="O207" s="14"/>
      <c r="P207" s="14"/>
      <c r="Q207" s="17"/>
      <c r="R207" s="17"/>
      <c r="S207" s="17"/>
      <c r="T207" s="15"/>
      <c r="U207" s="15"/>
      <c r="V207" s="15"/>
      <c r="W207" s="44"/>
      <c r="X207" s="20"/>
      <c r="Y207" s="20"/>
      <c r="Z207" s="20"/>
      <c r="AA207" s="20"/>
      <c r="AB207" s="20"/>
      <c r="AC207" s="20"/>
      <c r="AD207" s="20"/>
      <c r="AE207" s="20"/>
    </row>
    <row r="208" spans="1:31" s="9" customFormat="1" ht="29.25" customHeight="1" x14ac:dyDescent="0.2">
      <c r="A208" s="23" t="s">
        <v>110</v>
      </c>
      <c r="B208" s="69" t="s">
        <v>387</v>
      </c>
      <c r="C208" s="59" t="s">
        <v>583</v>
      </c>
      <c r="D208" s="14"/>
      <c r="E208" s="14"/>
      <c r="F208" s="18"/>
      <c r="G208" s="14"/>
      <c r="H208" s="13"/>
      <c r="I208" s="13"/>
      <c r="J208" s="16"/>
      <c r="K208" s="16"/>
      <c r="L208" s="14"/>
      <c r="M208" s="14"/>
      <c r="N208" s="14"/>
      <c r="O208" s="14"/>
      <c r="P208" s="14"/>
      <c r="Q208" s="17"/>
      <c r="R208" s="17"/>
      <c r="S208" s="17"/>
      <c r="T208" s="15"/>
      <c r="U208" s="15"/>
      <c r="V208" s="15"/>
      <c r="W208" s="44"/>
      <c r="X208" s="20"/>
      <c r="Y208" s="20"/>
      <c r="Z208" s="20"/>
      <c r="AA208" s="20"/>
      <c r="AB208" s="20"/>
      <c r="AC208" s="20"/>
      <c r="AD208" s="20"/>
      <c r="AE208" s="20"/>
    </row>
    <row r="209" spans="1:31" s="9" customFormat="1" ht="29.25" customHeight="1" x14ac:dyDescent="0.2">
      <c r="A209" s="14" t="s">
        <v>242</v>
      </c>
      <c r="B209" s="55" t="s">
        <v>472</v>
      </c>
      <c r="C209" s="54" t="s">
        <v>653</v>
      </c>
      <c r="D209" s="14"/>
      <c r="E209" s="14"/>
      <c r="F209" s="18"/>
      <c r="G209" s="14"/>
      <c r="H209" s="13"/>
      <c r="I209" s="13"/>
      <c r="J209" s="16"/>
      <c r="K209" s="16"/>
      <c r="L209" s="14"/>
      <c r="M209" s="14"/>
      <c r="N209" s="14"/>
      <c r="O209" s="14"/>
      <c r="P209" s="14"/>
      <c r="Q209" s="17"/>
      <c r="R209" s="17"/>
      <c r="S209" s="17"/>
      <c r="T209" s="15"/>
      <c r="U209" s="15"/>
      <c r="V209" s="15"/>
      <c r="W209" s="44"/>
      <c r="X209" s="20"/>
      <c r="Y209" s="20"/>
      <c r="Z209" s="20"/>
      <c r="AA209" s="20"/>
      <c r="AB209" s="20"/>
      <c r="AC209" s="20"/>
      <c r="AD209" s="20"/>
      <c r="AE209" s="20"/>
    </row>
    <row r="210" spans="1:31" s="9" customFormat="1" ht="29.25" customHeight="1" x14ac:dyDescent="0.2">
      <c r="A210" s="23" t="s">
        <v>122</v>
      </c>
      <c r="B210" s="59" t="s">
        <v>391</v>
      </c>
      <c r="C210" s="59" t="s">
        <v>586</v>
      </c>
      <c r="D210" s="14"/>
      <c r="E210" s="14"/>
      <c r="F210" s="18"/>
      <c r="G210" s="14"/>
      <c r="H210" s="13"/>
      <c r="I210" s="13"/>
      <c r="J210" s="16"/>
      <c r="K210" s="16"/>
      <c r="L210" s="14"/>
      <c r="M210" s="14"/>
      <c r="N210" s="14"/>
      <c r="O210" s="14"/>
      <c r="P210" s="14"/>
      <c r="Q210" s="17"/>
      <c r="R210" s="17"/>
      <c r="S210" s="17"/>
      <c r="T210" s="15"/>
      <c r="U210" s="15"/>
      <c r="V210" s="15"/>
      <c r="W210" s="44"/>
      <c r="X210" s="20"/>
      <c r="Y210" s="20"/>
      <c r="Z210" s="20"/>
      <c r="AA210" s="20"/>
      <c r="AB210" s="20"/>
      <c r="AC210" s="20"/>
      <c r="AD210" s="20"/>
      <c r="AE210" s="20"/>
    </row>
    <row r="211" spans="1:31" s="9" customFormat="1" ht="29.25" customHeight="1" x14ac:dyDescent="0.2">
      <c r="A211" s="22" t="s">
        <v>174</v>
      </c>
      <c r="B211" s="54" t="s">
        <v>431</v>
      </c>
      <c r="C211" s="54" t="s">
        <v>617</v>
      </c>
      <c r="D211" s="14"/>
      <c r="E211" s="14"/>
      <c r="F211" s="18"/>
      <c r="G211" s="14"/>
      <c r="H211" s="13"/>
      <c r="I211" s="13"/>
      <c r="J211" s="16"/>
      <c r="K211" s="16"/>
      <c r="L211" s="14"/>
      <c r="M211" s="14"/>
      <c r="N211" s="14"/>
      <c r="O211" s="14"/>
      <c r="P211" s="14"/>
      <c r="Q211" s="17"/>
      <c r="R211" s="17"/>
      <c r="S211" s="17"/>
      <c r="T211" s="15"/>
      <c r="U211" s="15"/>
      <c r="V211" s="15"/>
      <c r="W211" s="44"/>
      <c r="X211" s="20"/>
      <c r="Y211" s="20"/>
      <c r="Z211" s="20"/>
      <c r="AA211" s="20"/>
      <c r="AB211" s="20"/>
      <c r="AC211" s="20"/>
      <c r="AD211" s="20"/>
      <c r="AE211" s="20"/>
    </row>
    <row r="212" spans="1:31" s="9" customFormat="1" ht="29.25" customHeight="1" x14ac:dyDescent="0.2">
      <c r="A212" s="14" t="s">
        <v>308</v>
      </c>
      <c r="B212" s="56" t="s">
        <v>527</v>
      </c>
      <c r="C212" s="54" t="s">
        <v>577</v>
      </c>
      <c r="D212" s="14"/>
      <c r="E212" s="14"/>
      <c r="F212" s="18"/>
      <c r="G212" s="14"/>
      <c r="H212" s="13"/>
      <c r="I212" s="13"/>
      <c r="J212" s="16"/>
      <c r="K212" s="16"/>
      <c r="L212" s="14"/>
      <c r="M212" s="14"/>
      <c r="N212" s="14"/>
      <c r="O212" s="14"/>
      <c r="P212" s="14"/>
      <c r="Q212" s="17"/>
      <c r="R212" s="17"/>
      <c r="S212" s="17"/>
      <c r="T212" s="15"/>
      <c r="U212" s="15"/>
      <c r="V212" s="15"/>
      <c r="W212" s="44"/>
      <c r="X212" s="20"/>
      <c r="Y212" s="20"/>
      <c r="Z212" s="20"/>
      <c r="AA212" s="20"/>
      <c r="AB212" s="20"/>
      <c r="AC212" s="20"/>
      <c r="AD212" s="20"/>
      <c r="AE212" s="20"/>
    </row>
    <row r="213" spans="1:31" s="9" customFormat="1" ht="29.25" customHeight="1" x14ac:dyDescent="0.2">
      <c r="A213" s="14" t="s">
        <v>347</v>
      </c>
      <c r="B213" s="56" t="s">
        <v>552</v>
      </c>
      <c r="C213" s="54" t="s">
        <v>571</v>
      </c>
      <c r="D213" s="14"/>
      <c r="E213" s="14"/>
      <c r="F213" s="18"/>
      <c r="G213" s="14"/>
      <c r="H213" s="13"/>
      <c r="I213" s="13"/>
      <c r="J213" s="16"/>
      <c r="K213" s="16"/>
      <c r="L213" s="14"/>
      <c r="M213" s="14"/>
      <c r="N213" s="14"/>
      <c r="O213" s="14"/>
      <c r="P213" s="14"/>
      <c r="Q213" s="17"/>
      <c r="R213" s="17"/>
      <c r="S213" s="17"/>
      <c r="T213" s="15"/>
      <c r="U213" s="15"/>
      <c r="V213" s="15"/>
      <c r="W213" s="44"/>
      <c r="X213" s="20"/>
      <c r="Y213" s="20"/>
      <c r="Z213" s="20"/>
      <c r="AA213" s="20"/>
      <c r="AB213" s="20"/>
      <c r="AC213" s="20"/>
      <c r="AD213" s="20"/>
      <c r="AE213" s="20"/>
    </row>
    <row r="214" spans="1:31" s="9" customFormat="1" ht="29.25" customHeight="1" x14ac:dyDescent="0.2">
      <c r="A214" s="23" t="s">
        <v>106</v>
      </c>
      <c r="B214" s="69" t="s">
        <v>383</v>
      </c>
      <c r="C214" s="59" t="s">
        <v>580</v>
      </c>
      <c r="D214" s="14"/>
      <c r="E214" s="14"/>
      <c r="F214" s="18"/>
      <c r="G214" s="14"/>
      <c r="H214" s="13"/>
      <c r="I214" s="13"/>
      <c r="J214" s="16"/>
      <c r="K214" s="16"/>
      <c r="L214" s="14"/>
      <c r="M214" s="14"/>
      <c r="N214" s="14"/>
      <c r="O214" s="14"/>
      <c r="P214" s="14"/>
      <c r="Q214" s="17"/>
      <c r="R214" s="17"/>
      <c r="S214" s="17"/>
      <c r="T214" s="15"/>
      <c r="U214" s="15"/>
      <c r="V214" s="15"/>
      <c r="W214" s="44"/>
      <c r="X214" s="20"/>
      <c r="Y214" s="20"/>
      <c r="Z214" s="20"/>
      <c r="AA214" s="20"/>
      <c r="AB214" s="20"/>
      <c r="AC214" s="20"/>
      <c r="AD214" s="20"/>
      <c r="AE214" s="20"/>
    </row>
    <row r="215" spans="1:31" s="9" customFormat="1" ht="29.25" customHeight="1" x14ac:dyDescent="0.2">
      <c r="A215" s="14" t="s">
        <v>282</v>
      </c>
      <c r="B215" s="55" t="s">
        <v>507</v>
      </c>
      <c r="C215" s="54" t="s">
        <v>682</v>
      </c>
      <c r="D215" s="14"/>
      <c r="E215" s="14"/>
      <c r="F215" s="18"/>
      <c r="G215" s="14"/>
      <c r="H215" s="13"/>
      <c r="I215" s="13"/>
      <c r="J215" s="16"/>
      <c r="K215" s="16"/>
      <c r="L215" s="14"/>
      <c r="M215" s="14"/>
      <c r="N215" s="14"/>
      <c r="O215" s="14"/>
      <c r="P215" s="14"/>
      <c r="Q215" s="17"/>
      <c r="R215" s="17"/>
      <c r="S215" s="17"/>
      <c r="T215" s="15"/>
      <c r="U215" s="15"/>
      <c r="V215" s="15"/>
      <c r="W215" s="44"/>
      <c r="X215" s="20"/>
      <c r="Y215" s="20"/>
      <c r="Z215" s="20"/>
      <c r="AA215" s="20"/>
      <c r="AB215" s="20"/>
      <c r="AC215" s="20"/>
      <c r="AD215" s="20"/>
      <c r="AE215" s="20"/>
    </row>
    <row r="216" spans="1:31" s="9" customFormat="1" ht="29.25" customHeight="1" x14ac:dyDescent="0.2">
      <c r="A216" s="14" t="s">
        <v>283</v>
      </c>
      <c r="B216" s="54" t="s">
        <v>508</v>
      </c>
      <c r="C216" s="54" t="s">
        <v>683</v>
      </c>
      <c r="D216" s="14"/>
      <c r="E216" s="14"/>
      <c r="F216" s="18"/>
      <c r="G216" s="14"/>
      <c r="H216" s="13"/>
      <c r="I216" s="13"/>
      <c r="J216" s="16"/>
      <c r="K216" s="16"/>
      <c r="L216" s="14"/>
      <c r="M216" s="14"/>
      <c r="N216" s="14"/>
      <c r="O216" s="14"/>
      <c r="P216" s="14"/>
      <c r="Q216" s="17"/>
      <c r="R216" s="17"/>
      <c r="S216" s="17"/>
      <c r="T216" s="15"/>
      <c r="U216" s="15"/>
      <c r="V216" s="15"/>
      <c r="W216" s="44"/>
      <c r="X216" s="20"/>
      <c r="Y216" s="20"/>
      <c r="Z216" s="20"/>
      <c r="AA216" s="20"/>
      <c r="AB216" s="20"/>
      <c r="AC216" s="20"/>
      <c r="AD216" s="20"/>
      <c r="AE216" s="20"/>
    </row>
    <row r="217" spans="1:31" s="9" customFormat="1" ht="29.25" customHeight="1" x14ac:dyDescent="0.2">
      <c r="A217" s="14" t="s">
        <v>360</v>
      </c>
      <c r="B217" s="56" t="s">
        <v>559</v>
      </c>
      <c r="C217" s="54" t="s">
        <v>732</v>
      </c>
      <c r="D217" s="14"/>
      <c r="E217" s="14"/>
      <c r="F217" s="18"/>
      <c r="G217" s="14"/>
      <c r="H217" s="13"/>
      <c r="I217" s="13"/>
      <c r="J217" s="16"/>
      <c r="K217" s="16"/>
      <c r="L217" s="14"/>
      <c r="M217" s="14"/>
      <c r="N217" s="14"/>
      <c r="O217" s="14"/>
      <c r="P217" s="14"/>
      <c r="Q217" s="17"/>
      <c r="R217" s="17"/>
      <c r="S217" s="17"/>
      <c r="T217" s="15"/>
      <c r="U217" s="15"/>
      <c r="V217" s="15"/>
      <c r="W217" s="44"/>
      <c r="X217" s="20"/>
      <c r="Y217" s="20"/>
      <c r="Z217" s="20"/>
      <c r="AA217" s="20"/>
      <c r="AB217" s="20"/>
      <c r="AC217" s="20"/>
      <c r="AD217" s="20"/>
      <c r="AE217" s="20"/>
    </row>
    <row r="218" spans="1:31" s="9" customFormat="1" ht="29.25" customHeight="1" x14ac:dyDescent="0.2">
      <c r="A218" s="49" t="s">
        <v>361</v>
      </c>
      <c r="B218" s="60" t="s">
        <v>559</v>
      </c>
      <c r="C218" s="54" t="s">
        <v>733</v>
      </c>
      <c r="D218" s="14"/>
      <c r="E218" s="14"/>
      <c r="F218" s="18"/>
      <c r="G218" s="14"/>
      <c r="H218" s="13"/>
      <c r="I218" s="13"/>
      <c r="J218" s="16"/>
      <c r="K218" s="16"/>
      <c r="L218" s="14"/>
      <c r="M218" s="14"/>
      <c r="N218" s="14"/>
      <c r="O218" s="14"/>
      <c r="P218" s="14"/>
      <c r="Q218" s="17"/>
      <c r="R218" s="17"/>
      <c r="S218" s="17"/>
      <c r="T218" s="15"/>
      <c r="U218" s="15"/>
      <c r="V218" s="15"/>
      <c r="W218" s="44"/>
      <c r="X218" s="20"/>
      <c r="Y218" s="20"/>
      <c r="Z218" s="20"/>
      <c r="AA218" s="20"/>
      <c r="AB218" s="20"/>
      <c r="AC218" s="20"/>
      <c r="AD218" s="20"/>
      <c r="AE218" s="20"/>
    </row>
    <row r="219" spans="1:31" s="9" customFormat="1" ht="29.25" customHeight="1" x14ac:dyDescent="0.2">
      <c r="A219" s="14" t="s">
        <v>233</v>
      </c>
      <c r="B219" s="57" t="s">
        <v>464</v>
      </c>
      <c r="C219" s="66"/>
      <c r="D219" s="14"/>
      <c r="E219" s="14"/>
      <c r="F219" s="18"/>
      <c r="G219" s="14"/>
      <c r="H219" s="13"/>
      <c r="I219" s="13"/>
      <c r="J219" s="16"/>
      <c r="K219" s="16"/>
      <c r="L219" s="14"/>
      <c r="M219" s="14"/>
      <c r="N219" s="14"/>
      <c r="O219" s="14"/>
      <c r="P219" s="14"/>
      <c r="Q219" s="17"/>
      <c r="R219" s="17"/>
      <c r="S219" s="17"/>
      <c r="T219" s="15"/>
      <c r="U219" s="15"/>
      <c r="V219" s="15"/>
      <c r="W219" s="44"/>
      <c r="X219" s="20"/>
      <c r="Y219" s="20"/>
      <c r="Z219" s="20"/>
      <c r="AA219" s="20"/>
      <c r="AB219" s="20"/>
      <c r="AC219" s="20"/>
      <c r="AD219" s="20"/>
      <c r="AE219" s="20"/>
    </row>
    <row r="220" spans="1:31" s="9" customFormat="1" ht="29.25" customHeight="1" x14ac:dyDescent="0.2">
      <c r="A220" s="14" t="s">
        <v>232</v>
      </c>
      <c r="B220" s="57" t="s">
        <v>464</v>
      </c>
      <c r="C220" s="66"/>
      <c r="D220" s="14"/>
      <c r="E220" s="14"/>
      <c r="F220" s="18"/>
      <c r="G220" s="14"/>
      <c r="H220" s="13"/>
      <c r="I220" s="13"/>
      <c r="J220" s="16"/>
      <c r="K220" s="16"/>
      <c r="L220" s="14"/>
      <c r="M220" s="14"/>
      <c r="N220" s="14"/>
      <c r="O220" s="14"/>
      <c r="P220" s="14"/>
      <c r="Q220" s="17"/>
      <c r="R220" s="17"/>
      <c r="S220" s="17"/>
      <c r="T220" s="15"/>
      <c r="U220" s="15"/>
      <c r="V220" s="15"/>
      <c r="W220" s="44"/>
      <c r="X220" s="20"/>
      <c r="Y220" s="20"/>
      <c r="Z220" s="20"/>
      <c r="AA220" s="20"/>
      <c r="AB220" s="20"/>
      <c r="AC220" s="20"/>
      <c r="AD220" s="20"/>
      <c r="AE220" s="20"/>
    </row>
    <row r="221" spans="1:31" s="9" customFormat="1" ht="29.25" customHeight="1" x14ac:dyDescent="0.2">
      <c r="A221" s="14" t="s">
        <v>281</v>
      </c>
      <c r="B221" s="54" t="s">
        <v>491</v>
      </c>
      <c r="C221" s="54" t="s">
        <v>77</v>
      </c>
      <c r="D221" s="14"/>
      <c r="E221" s="14"/>
      <c r="F221" s="18"/>
      <c r="G221" s="14"/>
      <c r="H221" s="13"/>
      <c r="I221" s="13"/>
      <c r="J221" s="16"/>
      <c r="K221" s="16"/>
      <c r="L221" s="14"/>
      <c r="M221" s="14"/>
      <c r="N221" s="14"/>
      <c r="O221" s="14"/>
      <c r="P221" s="14"/>
      <c r="Q221" s="17"/>
      <c r="R221" s="17"/>
      <c r="S221" s="17"/>
      <c r="T221" s="15"/>
      <c r="U221" s="15"/>
      <c r="V221" s="15"/>
      <c r="W221" s="44"/>
      <c r="X221" s="20"/>
      <c r="Y221" s="20"/>
      <c r="Z221" s="20"/>
      <c r="AA221" s="20"/>
      <c r="AB221" s="20"/>
      <c r="AC221" s="20"/>
      <c r="AD221" s="20"/>
      <c r="AE221" s="20"/>
    </row>
    <row r="222" spans="1:31" s="9" customFormat="1" ht="29.25" customHeight="1" x14ac:dyDescent="0.2">
      <c r="A222" s="22" t="s">
        <v>204</v>
      </c>
      <c r="B222" s="58"/>
      <c r="C222" s="66"/>
      <c r="D222" s="14"/>
      <c r="E222" s="14"/>
      <c r="F222" s="18"/>
      <c r="G222" s="14"/>
      <c r="H222" s="13"/>
      <c r="I222" s="13"/>
      <c r="J222" s="16"/>
      <c r="K222" s="16"/>
      <c r="L222" s="14"/>
      <c r="M222" s="14"/>
      <c r="N222" s="14"/>
      <c r="O222" s="14"/>
      <c r="P222" s="14"/>
      <c r="Q222" s="17"/>
      <c r="R222" s="17"/>
      <c r="S222" s="17"/>
      <c r="T222" s="15"/>
      <c r="U222" s="15"/>
      <c r="V222" s="15"/>
      <c r="W222" s="44"/>
      <c r="X222" s="20"/>
      <c r="Y222" s="20"/>
      <c r="Z222" s="20"/>
      <c r="AA222" s="20"/>
      <c r="AB222" s="20"/>
      <c r="AC222" s="20"/>
      <c r="AD222" s="20"/>
      <c r="AE222" s="20"/>
    </row>
    <row r="223" spans="1:31" s="9" customFormat="1" ht="29.25" customHeight="1" x14ac:dyDescent="0.2">
      <c r="A223" s="23" t="s">
        <v>123</v>
      </c>
      <c r="B223" s="59" t="s">
        <v>392</v>
      </c>
      <c r="C223" s="59" t="s">
        <v>587</v>
      </c>
      <c r="D223" s="14"/>
      <c r="E223" s="14"/>
      <c r="F223" s="18"/>
      <c r="G223" s="14"/>
      <c r="H223" s="13"/>
      <c r="I223" s="13"/>
      <c r="J223" s="16"/>
      <c r="K223" s="16"/>
      <c r="L223" s="14"/>
      <c r="M223" s="14"/>
      <c r="N223" s="14"/>
      <c r="O223" s="14"/>
      <c r="P223" s="14"/>
      <c r="Q223" s="17"/>
      <c r="R223" s="17"/>
      <c r="S223" s="17"/>
      <c r="T223" s="15"/>
      <c r="U223" s="15"/>
      <c r="V223" s="15"/>
      <c r="W223" s="44"/>
      <c r="X223" s="20"/>
      <c r="Y223" s="20"/>
      <c r="Z223" s="20"/>
      <c r="AA223" s="20"/>
      <c r="AB223" s="20"/>
      <c r="AC223" s="20"/>
      <c r="AD223" s="20"/>
      <c r="AE223" s="20"/>
    </row>
    <row r="224" spans="1:31" s="9" customFormat="1" ht="29.25" customHeight="1" x14ac:dyDescent="0.2">
      <c r="A224" s="14" t="s">
        <v>326</v>
      </c>
      <c r="B224" s="54" t="s">
        <v>541</v>
      </c>
      <c r="C224" s="54" t="s">
        <v>717</v>
      </c>
      <c r="D224" s="14"/>
      <c r="E224" s="14"/>
      <c r="F224" s="18"/>
      <c r="G224" s="14"/>
      <c r="H224" s="13"/>
      <c r="I224" s="13"/>
      <c r="J224" s="16"/>
      <c r="K224" s="16"/>
      <c r="L224" s="14"/>
      <c r="M224" s="14"/>
      <c r="N224" s="14"/>
      <c r="O224" s="14"/>
      <c r="P224" s="14"/>
      <c r="Q224" s="17"/>
      <c r="R224" s="17"/>
      <c r="S224" s="17"/>
      <c r="T224" s="15"/>
      <c r="U224" s="15"/>
      <c r="V224" s="15"/>
      <c r="W224" s="44"/>
      <c r="X224" s="20"/>
      <c r="Y224" s="20"/>
      <c r="Z224" s="20"/>
      <c r="AA224" s="20"/>
      <c r="AB224" s="20"/>
      <c r="AC224" s="20"/>
      <c r="AD224" s="20"/>
      <c r="AE224" s="20"/>
    </row>
    <row r="225" spans="1:31" s="9" customFormat="1" ht="29.25" customHeight="1" x14ac:dyDescent="0.2">
      <c r="A225" s="14" t="s">
        <v>327</v>
      </c>
      <c r="B225" s="54" t="s">
        <v>542</v>
      </c>
      <c r="C225" s="54" t="s">
        <v>614</v>
      </c>
      <c r="D225" s="14"/>
      <c r="E225" s="14"/>
      <c r="F225" s="18"/>
      <c r="G225" s="14"/>
      <c r="H225" s="13"/>
      <c r="I225" s="13"/>
      <c r="J225" s="16"/>
      <c r="K225" s="16"/>
      <c r="L225" s="14"/>
      <c r="M225" s="14"/>
      <c r="N225" s="14"/>
      <c r="O225" s="14"/>
      <c r="P225" s="14"/>
      <c r="Q225" s="17"/>
      <c r="R225" s="17"/>
      <c r="S225" s="17"/>
      <c r="T225" s="15"/>
      <c r="U225" s="15"/>
      <c r="V225" s="15"/>
      <c r="W225" s="44"/>
      <c r="X225" s="20"/>
      <c r="Y225" s="20"/>
      <c r="Z225" s="20"/>
      <c r="AA225" s="20"/>
      <c r="AB225" s="20"/>
      <c r="AC225" s="20"/>
      <c r="AD225" s="20"/>
      <c r="AE225" s="20"/>
    </row>
    <row r="226" spans="1:31" s="9" customFormat="1" ht="29.25" customHeight="1" x14ac:dyDescent="0.2">
      <c r="A226" s="14" t="s">
        <v>284</v>
      </c>
      <c r="B226" s="55" t="s">
        <v>509</v>
      </c>
      <c r="C226" s="54" t="s">
        <v>684</v>
      </c>
      <c r="D226" s="14"/>
      <c r="E226" s="14"/>
      <c r="F226" s="18"/>
      <c r="G226" s="14"/>
      <c r="H226" s="13"/>
      <c r="I226" s="13"/>
      <c r="J226" s="16"/>
      <c r="K226" s="16"/>
      <c r="L226" s="14"/>
      <c r="M226" s="14"/>
      <c r="N226" s="14"/>
      <c r="O226" s="14"/>
      <c r="P226" s="14"/>
      <c r="Q226" s="17"/>
      <c r="R226" s="17"/>
      <c r="S226" s="17"/>
      <c r="T226" s="15"/>
      <c r="U226" s="15"/>
      <c r="V226" s="15"/>
      <c r="W226" s="44"/>
      <c r="X226" s="20"/>
      <c r="Y226" s="20"/>
      <c r="Z226" s="20"/>
      <c r="AA226" s="20"/>
      <c r="AB226" s="20"/>
      <c r="AC226" s="20"/>
      <c r="AD226" s="20"/>
      <c r="AE226" s="20"/>
    </row>
    <row r="227" spans="1:31" s="9" customFormat="1" ht="29.25" customHeight="1" x14ac:dyDescent="0.2">
      <c r="A227" s="14" t="s">
        <v>285</v>
      </c>
      <c r="B227" s="55" t="s">
        <v>510</v>
      </c>
      <c r="C227" s="54" t="s">
        <v>685</v>
      </c>
      <c r="D227" s="14"/>
      <c r="E227" s="14"/>
      <c r="F227" s="18"/>
      <c r="G227" s="14"/>
      <c r="H227" s="13"/>
      <c r="I227" s="13"/>
      <c r="J227" s="16"/>
      <c r="K227" s="16"/>
      <c r="L227" s="14"/>
      <c r="M227" s="14"/>
      <c r="N227" s="14"/>
      <c r="O227" s="14"/>
      <c r="P227" s="14"/>
      <c r="Q227" s="17"/>
      <c r="R227" s="17"/>
      <c r="S227" s="17"/>
      <c r="T227" s="15"/>
      <c r="U227" s="15"/>
      <c r="V227" s="15"/>
      <c r="W227" s="44"/>
      <c r="X227" s="20"/>
      <c r="Y227" s="20"/>
      <c r="Z227" s="20"/>
      <c r="AA227" s="20"/>
      <c r="AB227" s="20"/>
      <c r="AC227" s="20"/>
      <c r="AD227" s="20"/>
      <c r="AE227" s="20"/>
    </row>
    <row r="228" spans="1:31" s="9" customFormat="1" ht="29.25" customHeight="1" x14ac:dyDescent="0.2">
      <c r="A228" s="14" t="s">
        <v>333</v>
      </c>
      <c r="B228" s="55" t="s">
        <v>545</v>
      </c>
      <c r="C228" s="54" t="s">
        <v>720</v>
      </c>
      <c r="D228" s="14"/>
      <c r="E228" s="14"/>
      <c r="F228" s="18"/>
      <c r="G228" s="14"/>
      <c r="H228" s="13"/>
      <c r="I228" s="13"/>
      <c r="J228" s="16"/>
      <c r="K228" s="16"/>
      <c r="L228" s="14"/>
      <c r="M228" s="14"/>
      <c r="N228" s="14"/>
      <c r="O228" s="14"/>
      <c r="P228" s="14"/>
      <c r="Q228" s="17"/>
      <c r="R228" s="17"/>
      <c r="S228" s="17"/>
      <c r="T228" s="15"/>
      <c r="U228" s="15"/>
      <c r="V228" s="15"/>
      <c r="W228" s="44"/>
      <c r="X228" s="20"/>
      <c r="Y228" s="20"/>
      <c r="Z228" s="20"/>
      <c r="AA228" s="20"/>
      <c r="AB228" s="20"/>
      <c r="AC228" s="20"/>
      <c r="AD228" s="20"/>
      <c r="AE228" s="20"/>
    </row>
    <row r="229" spans="1:31" s="9" customFormat="1" ht="29.25" customHeight="1" x14ac:dyDescent="0.2">
      <c r="A229" s="14" t="s">
        <v>287</v>
      </c>
      <c r="B229" s="54" t="s">
        <v>512</v>
      </c>
      <c r="C229" s="54" t="s">
        <v>686</v>
      </c>
      <c r="D229" s="14"/>
      <c r="E229" s="14"/>
      <c r="F229" s="18"/>
      <c r="G229" s="14"/>
      <c r="H229" s="13"/>
      <c r="I229" s="13"/>
      <c r="J229" s="16"/>
      <c r="K229" s="16"/>
      <c r="L229" s="14"/>
      <c r="M229" s="14"/>
      <c r="N229" s="14"/>
      <c r="O229" s="14"/>
      <c r="P229" s="14"/>
      <c r="Q229" s="17"/>
      <c r="R229" s="17"/>
      <c r="S229" s="17"/>
      <c r="T229" s="15"/>
      <c r="U229" s="15"/>
      <c r="V229" s="15"/>
      <c r="W229" s="44"/>
      <c r="X229" s="20"/>
      <c r="Y229" s="20"/>
      <c r="Z229" s="20"/>
      <c r="AA229" s="20"/>
      <c r="AB229" s="20"/>
      <c r="AC229" s="20"/>
      <c r="AD229" s="20"/>
      <c r="AE229" s="20"/>
    </row>
    <row r="230" spans="1:31" s="9" customFormat="1" ht="29.25" customHeight="1" x14ac:dyDescent="0.2">
      <c r="A230" s="14" t="s">
        <v>288</v>
      </c>
      <c r="B230" s="55" t="s">
        <v>513</v>
      </c>
      <c r="C230" s="54" t="s">
        <v>687</v>
      </c>
      <c r="D230" s="14"/>
      <c r="E230" s="14"/>
      <c r="F230" s="18"/>
      <c r="G230" s="14"/>
      <c r="H230" s="13"/>
      <c r="I230" s="13"/>
      <c r="J230" s="16"/>
      <c r="K230" s="16"/>
      <c r="L230" s="14"/>
      <c r="M230" s="14"/>
      <c r="N230" s="14"/>
      <c r="O230" s="14"/>
      <c r="P230" s="14"/>
      <c r="Q230" s="17"/>
      <c r="R230" s="17"/>
      <c r="S230" s="17"/>
      <c r="T230" s="15"/>
      <c r="U230" s="15"/>
      <c r="V230" s="15"/>
      <c r="W230" s="44"/>
      <c r="X230" s="20"/>
      <c r="Y230" s="20"/>
      <c r="Z230" s="20"/>
      <c r="AA230" s="20"/>
      <c r="AB230" s="20"/>
      <c r="AC230" s="20"/>
      <c r="AD230" s="20"/>
      <c r="AE230" s="20"/>
    </row>
    <row r="231" spans="1:31" s="9" customFormat="1" ht="29.25" customHeight="1" x14ac:dyDescent="0.2">
      <c r="A231" s="14" t="s">
        <v>331</v>
      </c>
      <c r="B231" s="55" t="s">
        <v>543</v>
      </c>
      <c r="C231" s="54" t="s">
        <v>718</v>
      </c>
      <c r="D231" s="14"/>
      <c r="E231" s="14"/>
      <c r="F231" s="18"/>
      <c r="G231" s="14"/>
      <c r="H231" s="13"/>
      <c r="I231" s="13"/>
      <c r="J231" s="16"/>
      <c r="K231" s="16"/>
      <c r="L231" s="14"/>
      <c r="M231" s="14"/>
      <c r="N231" s="14"/>
      <c r="O231" s="14"/>
      <c r="P231" s="14"/>
      <c r="Q231" s="17"/>
      <c r="R231" s="17"/>
      <c r="S231" s="17"/>
      <c r="T231" s="15"/>
      <c r="U231" s="15"/>
      <c r="V231" s="15"/>
      <c r="W231" s="44"/>
      <c r="X231" s="20"/>
      <c r="Y231" s="20"/>
      <c r="Z231" s="20"/>
      <c r="AA231" s="20"/>
      <c r="AB231" s="20"/>
      <c r="AC231" s="20"/>
      <c r="AD231" s="20"/>
      <c r="AE231" s="20"/>
    </row>
    <row r="232" spans="1:31" s="9" customFormat="1" ht="29.25" customHeight="1" x14ac:dyDescent="0.2">
      <c r="A232" s="14" t="s">
        <v>330</v>
      </c>
      <c r="B232" s="55" t="s">
        <v>543</v>
      </c>
      <c r="C232" s="54" t="s">
        <v>718</v>
      </c>
      <c r="D232" s="14"/>
      <c r="E232" s="14"/>
      <c r="F232" s="18"/>
      <c r="G232" s="14"/>
      <c r="H232" s="13"/>
      <c r="I232" s="13"/>
      <c r="J232" s="16"/>
      <c r="K232" s="16"/>
      <c r="L232" s="14"/>
      <c r="M232" s="14"/>
      <c r="N232" s="14"/>
      <c r="O232" s="14"/>
      <c r="P232" s="14"/>
      <c r="Q232" s="17"/>
      <c r="R232" s="17"/>
      <c r="S232" s="17"/>
      <c r="T232" s="15"/>
      <c r="U232" s="15"/>
      <c r="V232" s="15"/>
      <c r="W232" s="44"/>
      <c r="X232" s="20"/>
      <c r="Y232" s="20"/>
      <c r="Z232" s="20"/>
      <c r="AA232" s="20"/>
      <c r="AB232" s="20"/>
      <c r="AC232" s="20"/>
      <c r="AD232" s="20"/>
      <c r="AE232" s="20"/>
    </row>
    <row r="233" spans="1:31" s="9" customFormat="1" ht="29.25" customHeight="1" x14ac:dyDescent="0.2">
      <c r="A233" s="14" t="s">
        <v>332</v>
      </c>
      <c r="B233" s="55" t="s">
        <v>543</v>
      </c>
      <c r="C233" s="54" t="s">
        <v>718</v>
      </c>
      <c r="D233" s="14"/>
      <c r="E233" s="14"/>
      <c r="F233" s="18"/>
      <c r="G233" s="14"/>
      <c r="H233" s="13"/>
      <c r="I233" s="13"/>
      <c r="J233" s="16"/>
      <c r="K233" s="16"/>
      <c r="L233" s="14"/>
      <c r="M233" s="14"/>
      <c r="N233" s="14"/>
      <c r="O233" s="14"/>
      <c r="P233" s="14"/>
      <c r="Q233" s="17"/>
      <c r="R233" s="17"/>
      <c r="S233" s="17"/>
      <c r="T233" s="15"/>
      <c r="U233" s="15"/>
      <c r="V233" s="15"/>
      <c r="W233" s="44"/>
      <c r="X233" s="20"/>
      <c r="Y233" s="20"/>
      <c r="Z233" s="20"/>
      <c r="AA233" s="20"/>
      <c r="AB233" s="20"/>
      <c r="AC233" s="20"/>
      <c r="AD233" s="20"/>
      <c r="AE233" s="20"/>
    </row>
    <row r="234" spans="1:31" s="9" customFormat="1" ht="29.25" customHeight="1" x14ac:dyDescent="0.2">
      <c r="A234" s="14" t="s">
        <v>351</v>
      </c>
      <c r="B234" s="55" t="s">
        <v>555</v>
      </c>
      <c r="C234" s="54" t="s">
        <v>727</v>
      </c>
      <c r="D234" s="14"/>
      <c r="E234" s="14"/>
      <c r="F234" s="18"/>
      <c r="G234" s="14"/>
      <c r="H234" s="13"/>
      <c r="I234" s="13"/>
      <c r="J234" s="16"/>
      <c r="K234" s="16"/>
      <c r="L234" s="14"/>
      <c r="M234" s="14"/>
      <c r="N234" s="14"/>
      <c r="O234" s="14"/>
      <c r="P234" s="14"/>
      <c r="Q234" s="17"/>
      <c r="R234" s="17"/>
      <c r="S234" s="17"/>
      <c r="T234" s="15"/>
      <c r="U234" s="15"/>
      <c r="V234" s="15"/>
      <c r="W234" s="44"/>
      <c r="X234" s="20"/>
      <c r="Y234" s="20"/>
      <c r="Z234" s="20"/>
      <c r="AA234" s="20"/>
      <c r="AB234" s="20"/>
      <c r="AC234" s="20"/>
      <c r="AD234" s="20"/>
      <c r="AE234" s="20"/>
    </row>
    <row r="235" spans="1:31" s="9" customFormat="1" ht="29.25" customHeight="1" x14ac:dyDescent="0.2">
      <c r="A235" s="23" t="s">
        <v>108</v>
      </c>
      <c r="B235" s="69" t="s">
        <v>385</v>
      </c>
      <c r="C235" s="59" t="s">
        <v>582</v>
      </c>
      <c r="D235" s="14"/>
      <c r="E235" s="14"/>
      <c r="F235" s="18"/>
      <c r="G235" s="14"/>
      <c r="H235" s="13"/>
      <c r="I235" s="13"/>
      <c r="J235" s="16"/>
      <c r="K235" s="16"/>
      <c r="L235" s="14"/>
      <c r="M235" s="14"/>
      <c r="N235" s="14"/>
      <c r="O235" s="14"/>
      <c r="P235" s="14"/>
      <c r="Q235" s="17"/>
      <c r="R235" s="17"/>
      <c r="S235" s="17"/>
      <c r="T235" s="15"/>
      <c r="U235" s="15"/>
      <c r="V235" s="15"/>
      <c r="W235" s="44"/>
      <c r="X235" s="20"/>
      <c r="Y235" s="20"/>
      <c r="Z235" s="20"/>
      <c r="AA235" s="20"/>
      <c r="AB235" s="20"/>
      <c r="AC235" s="20"/>
      <c r="AD235" s="20"/>
      <c r="AE235" s="20"/>
    </row>
    <row r="236" spans="1:31" s="9" customFormat="1" ht="29.25" customHeight="1" x14ac:dyDescent="0.2">
      <c r="A236" s="28" t="s">
        <v>738</v>
      </c>
      <c r="B236" s="69"/>
      <c r="C236" s="59"/>
      <c r="D236" s="14"/>
      <c r="E236" s="14"/>
      <c r="F236" s="18"/>
      <c r="G236" s="14"/>
      <c r="H236" s="13"/>
      <c r="I236" s="13"/>
      <c r="J236" s="16"/>
      <c r="K236" s="16"/>
      <c r="L236" s="14"/>
      <c r="M236" s="14"/>
      <c r="N236" s="14"/>
      <c r="O236" s="14"/>
      <c r="P236" s="14"/>
      <c r="Q236" s="17"/>
      <c r="R236" s="17"/>
      <c r="S236" s="17"/>
      <c r="T236" s="15"/>
      <c r="U236" s="15"/>
      <c r="V236" s="15"/>
      <c r="W236" s="44"/>
      <c r="X236" s="20"/>
      <c r="Y236" s="20"/>
      <c r="Z236" s="20"/>
      <c r="AA236" s="20"/>
      <c r="AB236" s="20"/>
      <c r="AC236" s="20"/>
      <c r="AD236" s="20"/>
      <c r="AE236" s="20"/>
    </row>
    <row r="237" spans="1:31" s="9" customFormat="1" ht="29.25" customHeight="1" x14ac:dyDescent="0.2">
      <c r="A237" s="14" t="s">
        <v>314</v>
      </c>
      <c r="B237" s="56" t="s">
        <v>531</v>
      </c>
      <c r="C237" s="54" t="s">
        <v>706</v>
      </c>
      <c r="D237" s="14"/>
      <c r="E237" s="14"/>
      <c r="F237" s="18"/>
      <c r="G237" s="14"/>
      <c r="H237" s="13"/>
      <c r="I237" s="13"/>
      <c r="J237" s="16"/>
      <c r="K237" s="16"/>
      <c r="L237" s="14"/>
      <c r="M237" s="14"/>
      <c r="N237" s="14"/>
      <c r="O237" s="14"/>
      <c r="P237" s="14"/>
      <c r="Q237" s="17"/>
      <c r="R237" s="17"/>
      <c r="S237" s="17"/>
      <c r="T237" s="15"/>
      <c r="U237" s="15"/>
      <c r="V237" s="15"/>
      <c r="W237" s="44"/>
      <c r="X237" s="20"/>
      <c r="Y237" s="20"/>
      <c r="Z237" s="20"/>
      <c r="AA237" s="20"/>
      <c r="AB237" s="20"/>
      <c r="AC237" s="20"/>
      <c r="AD237" s="20"/>
      <c r="AE237" s="20"/>
    </row>
    <row r="238" spans="1:31" s="9" customFormat="1" ht="29.25" customHeight="1" x14ac:dyDescent="0.2">
      <c r="A238" s="14" t="s">
        <v>315</v>
      </c>
      <c r="B238" s="54" t="s">
        <v>532</v>
      </c>
      <c r="C238" s="54" t="s">
        <v>707</v>
      </c>
      <c r="D238" s="14"/>
      <c r="E238" s="14"/>
      <c r="F238" s="18"/>
      <c r="G238" s="14"/>
      <c r="H238" s="13"/>
      <c r="I238" s="13"/>
      <c r="J238" s="16"/>
      <c r="K238" s="16"/>
      <c r="L238" s="14"/>
      <c r="M238" s="14"/>
      <c r="N238" s="14"/>
      <c r="O238" s="14"/>
      <c r="P238" s="14"/>
      <c r="Q238" s="17"/>
      <c r="R238" s="17"/>
      <c r="S238" s="17"/>
      <c r="T238" s="15"/>
      <c r="U238" s="15"/>
      <c r="V238" s="15"/>
      <c r="W238" s="44"/>
      <c r="X238" s="20"/>
      <c r="Y238" s="20"/>
      <c r="Z238" s="20"/>
      <c r="AA238" s="20"/>
      <c r="AB238" s="20"/>
      <c r="AC238" s="20"/>
      <c r="AD238" s="20"/>
      <c r="AE238" s="20"/>
    </row>
    <row r="239" spans="1:31" s="9" customFormat="1" ht="29.25" customHeight="1" x14ac:dyDescent="0.2">
      <c r="A239" s="14" t="s">
        <v>316</v>
      </c>
      <c r="B239" s="56" t="s">
        <v>533</v>
      </c>
      <c r="C239" s="54" t="s">
        <v>708</v>
      </c>
      <c r="D239" s="14"/>
      <c r="E239" s="14"/>
      <c r="F239" s="18"/>
      <c r="G239" s="14"/>
      <c r="H239" s="13"/>
      <c r="I239" s="13"/>
      <c r="J239" s="16"/>
      <c r="K239" s="16"/>
      <c r="L239" s="14"/>
      <c r="M239" s="14"/>
      <c r="N239" s="14"/>
      <c r="O239" s="14"/>
      <c r="P239" s="14"/>
      <c r="Q239" s="17"/>
      <c r="R239" s="17"/>
      <c r="S239" s="17"/>
      <c r="T239" s="15"/>
      <c r="U239" s="15"/>
      <c r="V239" s="15"/>
      <c r="W239" s="44"/>
      <c r="X239" s="20"/>
      <c r="Y239" s="20"/>
      <c r="Z239" s="20"/>
      <c r="AA239" s="20"/>
      <c r="AB239" s="20"/>
      <c r="AC239" s="20"/>
      <c r="AD239" s="20"/>
      <c r="AE239" s="20"/>
    </row>
    <row r="240" spans="1:31" s="9" customFormat="1" ht="29.25" customHeight="1" x14ac:dyDescent="0.2">
      <c r="A240" s="14" t="s">
        <v>325</v>
      </c>
      <c r="B240" s="60"/>
      <c r="C240" s="54" t="s">
        <v>716</v>
      </c>
      <c r="D240" s="14"/>
      <c r="E240" s="14"/>
      <c r="F240" s="18"/>
      <c r="G240" s="14"/>
      <c r="H240" s="13"/>
      <c r="I240" s="13"/>
      <c r="J240" s="16"/>
      <c r="K240" s="16"/>
      <c r="L240" s="14"/>
      <c r="M240" s="14"/>
      <c r="N240" s="14"/>
      <c r="O240" s="14"/>
      <c r="P240" s="14"/>
      <c r="Q240" s="17"/>
      <c r="R240" s="17"/>
      <c r="S240" s="17"/>
      <c r="T240" s="15"/>
      <c r="U240" s="15"/>
      <c r="V240" s="15"/>
      <c r="W240" s="44"/>
      <c r="X240" s="20"/>
      <c r="Y240" s="20"/>
      <c r="Z240" s="20"/>
      <c r="AA240" s="20"/>
      <c r="AB240" s="20"/>
      <c r="AC240" s="20"/>
      <c r="AD240" s="20"/>
      <c r="AE240" s="20"/>
    </row>
    <row r="241" spans="1:31" s="9" customFormat="1" ht="29.25" customHeight="1" x14ac:dyDescent="0.2">
      <c r="A241" s="22" t="s">
        <v>175</v>
      </c>
      <c r="B241" s="56" t="s">
        <v>432</v>
      </c>
      <c r="C241" s="54" t="s">
        <v>594</v>
      </c>
      <c r="D241" s="14"/>
      <c r="E241" s="14"/>
      <c r="F241" s="18"/>
      <c r="G241" s="14"/>
      <c r="H241" s="13"/>
      <c r="I241" s="13"/>
      <c r="J241" s="16"/>
      <c r="K241" s="16"/>
      <c r="L241" s="14"/>
      <c r="M241" s="14"/>
      <c r="N241" s="14"/>
      <c r="O241" s="14"/>
      <c r="P241" s="14"/>
      <c r="Q241" s="17"/>
      <c r="R241" s="17"/>
      <c r="S241" s="17"/>
      <c r="T241" s="15"/>
      <c r="U241" s="15"/>
      <c r="V241" s="15"/>
      <c r="W241" s="44"/>
      <c r="X241" s="20"/>
      <c r="Y241" s="20"/>
      <c r="Z241" s="20"/>
      <c r="AA241" s="20"/>
      <c r="AB241" s="20"/>
      <c r="AC241" s="20"/>
      <c r="AD241" s="20"/>
      <c r="AE241" s="20"/>
    </row>
    <row r="242" spans="1:31" s="9" customFormat="1" ht="29.25" customHeight="1" x14ac:dyDescent="0.2">
      <c r="A242" s="22" t="s">
        <v>205</v>
      </c>
      <c r="B242" s="56" t="s">
        <v>445</v>
      </c>
      <c r="C242" s="54" t="s">
        <v>571</v>
      </c>
      <c r="D242" s="14"/>
      <c r="E242" s="14"/>
      <c r="F242" s="18"/>
      <c r="G242" s="14"/>
      <c r="H242" s="13"/>
      <c r="I242" s="13"/>
      <c r="J242" s="16"/>
      <c r="K242" s="16"/>
      <c r="L242" s="14"/>
      <c r="M242" s="14"/>
      <c r="N242" s="14"/>
      <c r="O242" s="14"/>
      <c r="P242" s="14"/>
      <c r="Q242" s="17"/>
      <c r="R242" s="17"/>
      <c r="S242" s="17"/>
      <c r="T242" s="15"/>
      <c r="U242" s="15"/>
      <c r="V242" s="15"/>
      <c r="W242" s="44"/>
      <c r="X242" s="20"/>
      <c r="Y242" s="20"/>
      <c r="Z242" s="20"/>
      <c r="AA242" s="20"/>
      <c r="AB242" s="20"/>
      <c r="AC242" s="20"/>
      <c r="AD242" s="20"/>
      <c r="AE242" s="20"/>
    </row>
    <row r="243" spans="1:31" s="9" customFormat="1" ht="29.25" customHeight="1" x14ac:dyDescent="0.2">
      <c r="A243" s="22" t="s">
        <v>176</v>
      </c>
      <c r="B243" s="56" t="s">
        <v>432</v>
      </c>
      <c r="C243" s="54" t="s">
        <v>594</v>
      </c>
      <c r="D243" s="14"/>
      <c r="E243" s="14"/>
      <c r="F243" s="18"/>
      <c r="G243" s="14"/>
      <c r="H243" s="13"/>
      <c r="I243" s="13"/>
      <c r="J243" s="16"/>
      <c r="K243" s="16"/>
      <c r="L243" s="14"/>
      <c r="M243" s="14"/>
      <c r="N243" s="14"/>
      <c r="O243" s="14"/>
      <c r="P243" s="14"/>
      <c r="Q243" s="17"/>
      <c r="R243" s="17"/>
      <c r="S243" s="17"/>
      <c r="T243" s="15"/>
      <c r="U243" s="15"/>
      <c r="V243" s="15"/>
      <c r="W243" s="44"/>
      <c r="X243" s="20"/>
      <c r="Y243" s="20"/>
      <c r="Z243" s="20"/>
      <c r="AA243" s="20"/>
      <c r="AB243" s="20"/>
      <c r="AC243" s="20"/>
      <c r="AD243" s="20"/>
      <c r="AE243" s="20"/>
    </row>
    <row r="244" spans="1:31" s="9" customFormat="1" ht="29.25" customHeight="1" x14ac:dyDescent="0.2">
      <c r="A244" s="22" t="s">
        <v>177</v>
      </c>
      <c r="B244" s="56" t="s">
        <v>432</v>
      </c>
      <c r="C244" s="54" t="s">
        <v>594</v>
      </c>
      <c r="D244" s="14"/>
      <c r="E244" s="14"/>
      <c r="F244" s="18"/>
      <c r="G244" s="14"/>
      <c r="H244" s="13"/>
      <c r="I244" s="13"/>
      <c r="J244" s="16"/>
      <c r="K244" s="16"/>
      <c r="L244" s="14"/>
      <c r="M244" s="14"/>
      <c r="N244" s="14"/>
      <c r="O244" s="14"/>
      <c r="P244" s="14"/>
      <c r="Q244" s="17"/>
      <c r="R244" s="17"/>
      <c r="S244" s="17"/>
      <c r="T244" s="15"/>
      <c r="U244" s="15"/>
      <c r="V244" s="15"/>
      <c r="W244" s="44"/>
      <c r="X244" s="20"/>
      <c r="Y244" s="20"/>
      <c r="Z244" s="20"/>
      <c r="AA244" s="20"/>
      <c r="AB244" s="20"/>
      <c r="AC244" s="20"/>
      <c r="AD244" s="20"/>
      <c r="AE244" s="20"/>
    </row>
    <row r="245" spans="1:31" s="9" customFormat="1" ht="29.25" customHeight="1" x14ac:dyDescent="0.2">
      <c r="A245" s="22" t="s">
        <v>178</v>
      </c>
      <c r="B245" s="56" t="s">
        <v>432</v>
      </c>
      <c r="C245" s="54" t="s">
        <v>594</v>
      </c>
      <c r="D245" s="14"/>
      <c r="E245" s="14"/>
      <c r="F245" s="18"/>
      <c r="G245" s="14"/>
      <c r="H245" s="13"/>
      <c r="I245" s="13"/>
      <c r="J245" s="16"/>
      <c r="K245" s="16"/>
      <c r="L245" s="14"/>
      <c r="M245" s="14"/>
      <c r="N245" s="14"/>
      <c r="O245" s="14"/>
      <c r="P245" s="14"/>
      <c r="Q245" s="17"/>
      <c r="R245" s="17"/>
      <c r="S245" s="17"/>
      <c r="T245" s="15"/>
      <c r="U245" s="15"/>
      <c r="V245" s="15"/>
      <c r="W245" s="44"/>
      <c r="X245" s="20"/>
      <c r="Y245" s="20"/>
      <c r="Z245" s="20"/>
      <c r="AA245" s="20"/>
      <c r="AB245" s="20"/>
      <c r="AC245" s="20"/>
      <c r="AD245" s="20"/>
      <c r="AE245" s="20"/>
    </row>
    <row r="246" spans="1:31" s="9" customFormat="1" ht="29.25" customHeight="1" x14ac:dyDescent="0.2">
      <c r="A246" s="22" t="s">
        <v>179</v>
      </c>
      <c r="B246" s="56" t="s">
        <v>432</v>
      </c>
      <c r="C246" s="54" t="s">
        <v>594</v>
      </c>
      <c r="D246" s="14"/>
      <c r="E246" s="14"/>
      <c r="F246" s="18"/>
      <c r="G246" s="14"/>
      <c r="H246" s="13"/>
      <c r="I246" s="13"/>
      <c r="J246" s="16"/>
      <c r="K246" s="16"/>
      <c r="L246" s="14"/>
      <c r="M246" s="14"/>
      <c r="N246" s="14"/>
      <c r="O246" s="14"/>
      <c r="P246" s="14"/>
      <c r="Q246" s="17"/>
      <c r="R246" s="17"/>
      <c r="S246" s="17"/>
      <c r="T246" s="15"/>
      <c r="U246" s="15"/>
      <c r="V246" s="15"/>
      <c r="W246" s="44"/>
      <c r="X246" s="20"/>
      <c r="Y246" s="20"/>
      <c r="Z246" s="20"/>
      <c r="AA246" s="20"/>
      <c r="AB246" s="20"/>
      <c r="AC246" s="20"/>
      <c r="AD246" s="20"/>
      <c r="AE246" s="20"/>
    </row>
    <row r="247" spans="1:31" s="9" customFormat="1" ht="29.25" customHeight="1" x14ac:dyDescent="0.2">
      <c r="A247" s="14" t="s">
        <v>290</v>
      </c>
      <c r="B247" s="54" t="s">
        <v>514</v>
      </c>
      <c r="C247" s="54" t="s">
        <v>688</v>
      </c>
      <c r="D247" s="14"/>
      <c r="E247" s="14"/>
      <c r="F247" s="18"/>
      <c r="G247" s="14"/>
      <c r="H247" s="13"/>
      <c r="I247" s="13"/>
      <c r="J247" s="16"/>
      <c r="K247" s="16"/>
      <c r="L247" s="14"/>
      <c r="M247" s="14"/>
      <c r="N247" s="14"/>
      <c r="O247" s="14"/>
      <c r="P247" s="14"/>
      <c r="Q247" s="17"/>
      <c r="R247" s="17"/>
      <c r="S247" s="17"/>
      <c r="T247" s="15"/>
      <c r="U247" s="15"/>
      <c r="V247" s="15"/>
      <c r="W247" s="44"/>
      <c r="X247" s="20"/>
      <c r="Y247" s="20"/>
      <c r="Z247" s="20"/>
      <c r="AA247" s="20"/>
      <c r="AB247" s="20"/>
      <c r="AC247" s="20"/>
      <c r="AD247" s="20"/>
      <c r="AE247" s="20"/>
    </row>
    <row r="248" spans="1:31" s="9" customFormat="1" ht="29.25" customHeight="1" x14ac:dyDescent="0.2">
      <c r="A248" s="22" t="s">
        <v>181</v>
      </c>
      <c r="B248" s="56" t="s">
        <v>432</v>
      </c>
      <c r="C248" s="54" t="s">
        <v>594</v>
      </c>
      <c r="D248" s="14"/>
      <c r="E248" s="14"/>
      <c r="F248" s="18"/>
      <c r="G248" s="14"/>
      <c r="H248" s="13"/>
      <c r="I248" s="13"/>
      <c r="J248" s="16"/>
      <c r="K248" s="16"/>
      <c r="L248" s="14"/>
      <c r="M248" s="14"/>
      <c r="N248" s="14"/>
      <c r="O248" s="14"/>
      <c r="P248" s="14"/>
      <c r="Q248" s="17"/>
      <c r="R248" s="17"/>
      <c r="S248" s="17"/>
      <c r="T248" s="15"/>
      <c r="U248" s="15"/>
      <c r="V248" s="15"/>
      <c r="W248" s="44"/>
      <c r="X248" s="20"/>
      <c r="Y248" s="20"/>
      <c r="Z248" s="20"/>
      <c r="AA248" s="20"/>
      <c r="AB248" s="20"/>
      <c r="AC248" s="20"/>
      <c r="AD248" s="20"/>
      <c r="AE248" s="20"/>
    </row>
    <row r="249" spans="1:31" s="9" customFormat="1" ht="29.25" customHeight="1" x14ac:dyDescent="0.2">
      <c r="A249" s="22" t="s">
        <v>182</v>
      </c>
      <c r="B249" s="56" t="s">
        <v>432</v>
      </c>
      <c r="C249" s="54" t="s">
        <v>594</v>
      </c>
      <c r="D249" s="14"/>
      <c r="E249" s="14"/>
      <c r="F249" s="18"/>
      <c r="G249" s="14"/>
      <c r="H249" s="13"/>
      <c r="I249" s="13"/>
      <c r="J249" s="16"/>
      <c r="K249" s="16"/>
      <c r="L249" s="14"/>
      <c r="M249" s="14"/>
      <c r="N249" s="14"/>
      <c r="O249" s="14"/>
      <c r="P249" s="14"/>
      <c r="Q249" s="17"/>
      <c r="R249" s="17"/>
      <c r="S249" s="17"/>
      <c r="T249" s="15"/>
      <c r="U249" s="15"/>
      <c r="V249" s="15"/>
      <c r="W249" s="44"/>
      <c r="X249" s="20"/>
      <c r="Y249" s="20"/>
      <c r="Z249" s="20"/>
      <c r="AA249" s="20"/>
      <c r="AB249" s="20"/>
      <c r="AC249" s="20"/>
      <c r="AD249" s="20"/>
      <c r="AE249" s="20"/>
    </row>
    <row r="250" spans="1:31" s="9" customFormat="1" ht="29.25" customHeight="1" x14ac:dyDescent="0.2">
      <c r="A250" s="22" t="s">
        <v>183</v>
      </c>
      <c r="B250" s="56" t="s">
        <v>432</v>
      </c>
      <c r="C250" s="54" t="s">
        <v>594</v>
      </c>
      <c r="D250" s="14"/>
      <c r="E250" s="14"/>
      <c r="F250" s="18"/>
      <c r="G250" s="14"/>
      <c r="H250" s="13"/>
      <c r="I250" s="13"/>
      <c r="J250" s="16"/>
      <c r="K250" s="16"/>
      <c r="L250" s="14"/>
      <c r="M250" s="14"/>
      <c r="N250" s="14"/>
      <c r="O250" s="14"/>
      <c r="P250" s="14"/>
      <c r="Q250" s="17"/>
      <c r="R250" s="17"/>
      <c r="S250" s="17"/>
      <c r="T250" s="15"/>
      <c r="U250" s="15"/>
      <c r="V250" s="15"/>
      <c r="W250" s="44"/>
      <c r="X250" s="20"/>
      <c r="Y250" s="20"/>
      <c r="Z250" s="20"/>
      <c r="AA250" s="20"/>
      <c r="AB250" s="20"/>
      <c r="AC250" s="20"/>
      <c r="AD250" s="20"/>
      <c r="AE250" s="20"/>
    </row>
    <row r="251" spans="1:31" s="9" customFormat="1" ht="29.25" customHeight="1" x14ac:dyDescent="0.2">
      <c r="A251" s="22" t="s">
        <v>180</v>
      </c>
      <c r="B251" s="56" t="s">
        <v>432</v>
      </c>
      <c r="C251" s="54" t="s">
        <v>594</v>
      </c>
      <c r="D251" s="14"/>
      <c r="E251" s="14"/>
      <c r="F251" s="18"/>
      <c r="G251" s="14"/>
      <c r="H251" s="13"/>
      <c r="I251" s="13"/>
      <c r="J251" s="16"/>
      <c r="K251" s="16"/>
      <c r="L251" s="14"/>
      <c r="M251" s="14"/>
      <c r="N251" s="14"/>
      <c r="O251" s="14"/>
      <c r="P251" s="14"/>
      <c r="Q251" s="17"/>
      <c r="R251" s="17"/>
      <c r="S251" s="17"/>
      <c r="T251" s="15"/>
      <c r="U251" s="15"/>
      <c r="V251" s="15"/>
      <c r="W251" s="44"/>
      <c r="X251" s="20"/>
      <c r="Y251" s="20"/>
      <c r="Z251" s="20"/>
      <c r="AA251" s="20"/>
      <c r="AB251" s="20"/>
      <c r="AC251" s="20"/>
      <c r="AD251" s="20"/>
      <c r="AE251" s="20"/>
    </row>
    <row r="252" spans="1:31" s="9" customFormat="1" ht="29.25" customHeight="1" x14ac:dyDescent="0.2">
      <c r="A252" s="22" t="s">
        <v>184</v>
      </c>
      <c r="B252" s="56" t="s">
        <v>432</v>
      </c>
      <c r="C252" s="54" t="s">
        <v>594</v>
      </c>
      <c r="D252" s="14"/>
      <c r="E252" s="14"/>
      <c r="F252" s="18"/>
      <c r="G252" s="14"/>
      <c r="H252" s="13"/>
      <c r="I252" s="13"/>
      <c r="J252" s="16"/>
      <c r="K252" s="16"/>
      <c r="L252" s="14"/>
      <c r="M252" s="14"/>
      <c r="N252" s="14"/>
      <c r="O252" s="14"/>
      <c r="P252" s="14"/>
      <c r="Q252" s="17"/>
      <c r="R252" s="17"/>
      <c r="S252" s="17"/>
      <c r="T252" s="15"/>
      <c r="U252" s="15"/>
      <c r="V252" s="15"/>
      <c r="W252" s="44"/>
      <c r="X252" s="20"/>
      <c r="Y252" s="20"/>
      <c r="Z252" s="20"/>
      <c r="AA252" s="20"/>
      <c r="AB252" s="20"/>
      <c r="AC252" s="20"/>
      <c r="AD252" s="20"/>
      <c r="AE252" s="20"/>
    </row>
    <row r="253" spans="1:31" s="9" customFormat="1" ht="29.25" customHeight="1" x14ac:dyDescent="0.2">
      <c r="A253" s="22" t="s">
        <v>185</v>
      </c>
      <c r="B253" s="56" t="s">
        <v>432</v>
      </c>
      <c r="C253" s="54" t="s">
        <v>594</v>
      </c>
      <c r="D253" s="14"/>
      <c r="E253" s="14"/>
      <c r="F253" s="18"/>
      <c r="G253" s="14"/>
      <c r="H253" s="13"/>
      <c r="I253" s="13"/>
      <c r="J253" s="16"/>
      <c r="K253" s="16"/>
      <c r="L253" s="14"/>
      <c r="M253" s="14"/>
      <c r="N253" s="14"/>
      <c r="O253" s="14"/>
      <c r="P253" s="14"/>
      <c r="Q253" s="17"/>
      <c r="R253" s="17"/>
      <c r="S253" s="17"/>
      <c r="T253" s="15"/>
      <c r="U253" s="15"/>
      <c r="V253" s="15"/>
      <c r="W253" s="44"/>
      <c r="X253" s="20"/>
      <c r="Y253" s="20"/>
      <c r="Z253" s="20"/>
      <c r="AA253" s="20"/>
      <c r="AB253" s="20"/>
      <c r="AC253" s="20"/>
      <c r="AD253" s="20"/>
      <c r="AE253" s="20"/>
    </row>
    <row r="254" spans="1:31" s="9" customFormat="1" ht="29.25" customHeight="1" x14ac:dyDescent="0.2">
      <c r="A254" s="22" t="s">
        <v>186</v>
      </c>
      <c r="B254" s="56" t="s">
        <v>432</v>
      </c>
      <c r="C254" s="54" t="s">
        <v>594</v>
      </c>
      <c r="D254" s="14"/>
      <c r="E254" s="14"/>
      <c r="F254" s="18"/>
      <c r="G254" s="14"/>
      <c r="H254" s="13"/>
      <c r="I254" s="13"/>
      <c r="J254" s="16"/>
      <c r="K254" s="16"/>
      <c r="L254" s="14"/>
      <c r="M254" s="14"/>
      <c r="N254" s="14"/>
      <c r="O254" s="14"/>
      <c r="P254" s="14"/>
      <c r="Q254" s="17"/>
      <c r="R254" s="17"/>
      <c r="S254" s="17"/>
      <c r="T254" s="15"/>
      <c r="U254" s="15"/>
      <c r="V254" s="15"/>
      <c r="W254" s="44"/>
      <c r="X254" s="20"/>
      <c r="Y254" s="20"/>
      <c r="Z254" s="20"/>
      <c r="AA254" s="20"/>
      <c r="AB254" s="20"/>
      <c r="AC254" s="20"/>
      <c r="AD254" s="20"/>
      <c r="AE254" s="20"/>
    </row>
    <row r="255" spans="1:31" s="9" customFormat="1" ht="29.25" customHeight="1" x14ac:dyDescent="0.2">
      <c r="A255" s="22" t="s">
        <v>187</v>
      </c>
      <c r="B255" s="56" t="s">
        <v>432</v>
      </c>
      <c r="C255" s="54" t="s">
        <v>594</v>
      </c>
      <c r="D255" s="14"/>
      <c r="E255" s="14"/>
      <c r="F255" s="18"/>
      <c r="G255" s="14"/>
      <c r="H255" s="13"/>
      <c r="I255" s="13"/>
      <c r="J255" s="16"/>
      <c r="K255" s="16"/>
      <c r="L255" s="14"/>
      <c r="M255" s="14"/>
      <c r="N255" s="14"/>
      <c r="O255" s="14"/>
      <c r="P255" s="14"/>
      <c r="Q255" s="17"/>
      <c r="R255" s="17"/>
      <c r="S255" s="17"/>
      <c r="T255" s="15"/>
      <c r="U255" s="15"/>
      <c r="V255" s="15"/>
      <c r="W255" s="44"/>
      <c r="X255" s="20"/>
      <c r="Y255" s="20"/>
      <c r="Z255" s="20"/>
      <c r="AA255" s="20"/>
      <c r="AB255" s="20"/>
      <c r="AC255" s="20"/>
      <c r="AD255" s="20"/>
      <c r="AE255" s="20"/>
    </row>
    <row r="256" spans="1:31" s="9" customFormat="1" ht="29.25" customHeight="1" x14ac:dyDescent="0.2">
      <c r="A256" s="22" t="s">
        <v>188</v>
      </c>
      <c r="B256" s="55" t="s">
        <v>433</v>
      </c>
      <c r="C256" s="54" t="s">
        <v>618</v>
      </c>
      <c r="D256" s="14"/>
      <c r="E256" s="14"/>
      <c r="F256" s="18"/>
      <c r="G256" s="14"/>
      <c r="H256" s="13"/>
      <c r="I256" s="13"/>
      <c r="J256" s="16"/>
      <c r="K256" s="16"/>
      <c r="L256" s="14"/>
      <c r="M256" s="14"/>
      <c r="N256" s="14"/>
      <c r="O256" s="14"/>
      <c r="P256" s="14"/>
      <c r="Q256" s="17"/>
      <c r="R256" s="17"/>
      <c r="S256" s="17"/>
      <c r="T256" s="15"/>
      <c r="U256" s="15"/>
      <c r="V256" s="15"/>
      <c r="W256" s="44"/>
      <c r="X256" s="20"/>
      <c r="Y256" s="20"/>
      <c r="Z256" s="20"/>
      <c r="AA256" s="20"/>
      <c r="AB256" s="20"/>
      <c r="AC256" s="20"/>
      <c r="AD256" s="20"/>
      <c r="AE256" s="20"/>
    </row>
    <row r="257" spans="1:31" s="9" customFormat="1" ht="29.25" customHeight="1" x14ac:dyDescent="0.2">
      <c r="A257" s="22" t="s">
        <v>189</v>
      </c>
      <c r="B257" s="55" t="s">
        <v>434</v>
      </c>
      <c r="C257" s="65" t="s">
        <v>619</v>
      </c>
      <c r="D257" s="14"/>
      <c r="E257" s="14"/>
      <c r="F257" s="18"/>
      <c r="G257" s="14"/>
      <c r="H257" s="13"/>
      <c r="I257" s="13"/>
      <c r="J257" s="16"/>
      <c r="K257" s="16"/>
      <c r="L257" s="14"/>
      <c r="M257" s="14"/>
      <c r="N257" s="14"/>
      <c r="O257" s="14"/>
      <c r="P257" s="14"/>
      <c r="Q257" s="17"/>
      <c r="R257" s="17"/>
      <c r="S257" s="17"/>
      <c r="T257" s="15"/>
      <c r="U257" s="15"/>
      <c r="V257" s="15"/>
      <c r="W257" s="44"/>
      <c r="X257" s="20"/>
      <c r="Y257" s="20"/>
      <c r="Z257" s="20"/>
      <c r="AA257" s="20"/>
      <c r="AB257" s="20"/>
      <c r="AC257" s="20"/>
      <c r="AD257" s="20"/>
      <c r="AE257" s="20"/>
    </row>
    <row r="258" spans="1:31" s="9" customFormat="1" ht="29.25" customHeight="1" x14ac:dyDescent="0.2">
      <c r="A258" s="22" t="s">
        <v>190</v>
      </c>
      <c r="B258" s="55" t="s">
        <v>435</v>
      </c>
      <c r="C258" s="65"/>
      <c r="D258" s="14"/>
      <c r="E258" s="14"/>
      <c r="F258" s="18"/>
      <c r="G258" s="14"/>
      <c r="H258" s="13"/>
      <c r="I258" s="13"/>
      <c r="J258" s="16"/>
      <c r="K258" s="16"/>
      <c r="L258" s="14"/>
      <c r="M258" s="14"/>
      <c r="N258" s="14"/>
      <c r="O258" s="14"/>
      <c r="P258" s="14"/>
      <c r="Q258" s="17"/>
      <c r="R258" s="17"/>
      <c r="S258" s="17"/>
      <c r="T258" s="15"/>
      <c r="U258" s="15"/>
      <c r="V258" s="15"/>
      <c r="W258" s="44"/>
      <c r="X258" s="20"/>
      <c r="Y258" s="20"/>
      <c r="Z258" s="20"/>
      <c r="AA258" s="20"/>
      <c r="AB258" s="20"/>
      <c r="AC258" s="20"/>
      <c r="AD258" s="20"/>
      <c r="AE258" s="20"/>
    </row>
    <row r="259" spans="1:31" s="9" customFormat="1" ht="29.25" customHeight="1" x14ac:dyDescent="0.2">
      <c r="A259" s="22" t="s">
        <v>191</v>
      </c>
      <c r="B259" s="54" t="s">
        <v>436</v>
      </c>
      <c r="C259" s="54" t="s">
        <v>620</v>
      </c>
      <c r="D259" s="14"/>
      <c r="E259" s="14"/>
      <c r="F259" s="18"/>
      <c r="G259" s="14"/>
      <c r="H259" s="13"/>
      <c r="I259" s="13"/>
      <c r="J259" s="16"/>
      <c r="K259" s="16"/>
      <c r="L259" s="14"/>
      <c r="M259" s="14"/>
      <c r="N259" s="14"/>
      <c r="O259" s="14"/>
      <c r="P259" s="14"/>
      <c r="Q259" s="17"/>
      <c r="R259" s="17"/>
      <c r="S259" s="17"/>
      <c r="T259" s="15"/>
      <c r="U259" s="15"/>
      <c r="V259" s="15"/>
      <c r="W259" s="44"/>
      <c r="X259" s="20"/>
      <c r="Y259" s="20"/>
      <c r="Z259" s="20"/>
      <c r="AA259" s="20"/>
      <c r="AB259" s="20"/>
      <c r="AC259" s="20"/>
      <c r="AD259" s="20"/>
      <c r="AE259" s="20"/>
    </row>
    <row r="260" spans="1:31" s="9" customFormat="1" ht="29.25" customHeight="1" x14ac:dyDescent="0.2">
      <c r="A260" s="22" t="s">
        <v>192</v>
      </c>
      <c r="B260" s="56" t="s">
        <v>437</v>
      </c>
      <c r="C260" s="54" t="s">
        <v>621</v>
      </c>
      <c r="D260" s="14"/>
      <c r="E260" s="14"/>
      <c r="F260" s="18"/>
      <c r="G260" s="14"/>
      <c r="H260" s="13"/>
      <c r="I260" s="13"/>
      <c r="J260" s="16"/>
      <c r="K260" s="16"/>
      <c r="L260" s="14"/>
      <c r="M260" s="14"/>
      <c r="N260" s="14"/>
      <c r="O260" s="14"/>
      <c r="P260" s="14"/>
      <c r="Q260" s="17"/>
      <c r="R260" s="17"/>
      <c r="S260" s="17"/>
      <c r="T260" s="15"/>
      <c r="U260" s="15"/>
      <c r="V260" s="15"/>
      <c r="W260" s="44"/>
      <c r="X260" s="20"/>
      <c r="Y260" s="20"/>
      <c r="Z260" s="20"/>
      <c r="AA260" s="20"/>
      <c r="AB260" s="20"/>
      <c r="AC260" s="20"/>
      <c r="AD260" s="20"/>
      <c r="AE260" s="20"/>
    </row>
    <row r="261" spans="1:31" s="9" customFormat="1" ht="29.25" customHeight="1" x14ac:dyDescent="0.2">
      <c r="A261" s="22" t="s">
        <v>194</v>
      </c>
      <c r="B261" s="55" t="s">
        <v>438</v>
      </c>
      <c r="C261" s="54" t="s">
        <v>622</v>
      </c>
      <c r="D261" s="14"/>
      <c r="E261" s="14"/>
      <c r="F261" s="18"/>
      <c r="G261" s="14"/>
      <c r="H261" s="13"/>
      <c r="I261" s="13"/>
      <c r="J261" s="16"/>
      <c r="K261" s="16"/>
      <c r="L261" s="14"/>
      <c r="M261" s="14"/>
      <c r="N261" s="14"/>
      <c r="O261" s="14"/>
      <c r="P261" s="14"/>
      <c r="Q261" s="17"/>
      <c r="R261" s="17"/>
      <c r="S261" s="17"/>
      <c r="T261" s="15"/>
      <c r="U261" s="15"/>
      <c r="V261" s="15"/>
      <c r="W261" s="44"/>
      <c r="X261" s="20"/>
      <c r="Y261" s="20"/>
      <c r="Z261" s="20"/>
      <c r="AA261" s="20"/>
      <c r="AB261" s="20"/>
      <c r="AC261" s="20"/>
      <c r="AD261" s="20"/>
      <c r="AE261" s="20"/>
    </row>
    <row r="262" spans="1:31" s="9" customFormat="1" ht="29.25" customHeight="1" x14ac:dyDescent="0.2">
      <c r="A262" s="22" t="s">
        <v>193</v>
      </c>
      <c r="B262" s="55" t="s">
        <v>438</v>
      </c>
      <c r="C262" s="54" t="s">
        <v>622</v>
      </c>
      <c r="D262" s="14"/>
      <c r="E262" s="14"/>
      <c r="F262" s="18"/>
      <c r="G262" s="14"/>
      <c r="H262" s="13"/>
      <c r="I262" s="13"/>
      <c r="J262" s="16"/>
      <c r="K262" s="16"/>
      <c r="L262" s="14"/>
      <c r="M262" s="14"/>
      <c r="N262" s="14"/>
      <c r="O262" s="14"/>
      <c r="P262" s="14"/>
      <c r="Q262" s="17"/>
      <c r="R262" s="17"/>
      <c r="S262" s="17"/>
      <c r="T262" s="15"/>
      <c r="U262" s="15"/>
      <c r="V262" s="15"/>
      <c r="W262" s="44"/>
      <c r="X262" s="20"/>
      <c r="Y262" s="20"/>
      <c r="Z262" s="20"/>
      <c r="AA262" s="20"/>
      <c r="AB262" s="20"/>
      <c r="AC262" s="20"/>
      <c r="AD262" s="20"/>
      <c r="AE262" s="20"/>
    </row>
    <row r="263" spans="1:31" s="9" customFormat="1" ht="29.25" customHeight="1" x14ac:dyDescent="0.2">
      <c r="A263" s="22" t="s">
        <v>195</v>
      </c>
      <c r="B263" s="55" t="s">
        <v>438</v>
      </c>
      <c r="C263" s="54" t="s">
        <v>623</v>
      </c>
      <c r="D263" s="14"/>
      <c r="E263" s="14"/>
      <c r="F263" s="18"/>
      <c r="G263" s="14"/>
      <c r="H263" s="13"/>
      <c r="I263" s="13"/>
      <c r="J263" s="16"/>
      <c r="K263" s="16"/>
      <c r="L263" s="14"/>
      <c r="M263" s="14"/>
      <c r="N263" s="14"/>
      <c r="O263" s="14"/>
      <c r="P263" s="14"/>
      <c r="Q263" s="17"/>
      <c r="R263" s="17"/>
      <c r="S263" s="17"/>
      <c r="T263" s="15"/>
      <c r="U263" s="15"/>
      <c r="V263" s="15"/>
      <c r="W263" s="44"/>
      <c r="X263" s="20"/>
      <c r="Y263" s="20"/>
      <c r="Z263" s="20"/>
      <c r="AA263" s="20"/>
      <c r="AB263" s="20"/>
      <c r="AC263" s="20"/>
      <c r="AD263" s="20"/>
      <c r="AE263" s="20"/>
    </row>
    <row r="264" spans="1:31" s="9" customFormat="1" ht="29.25" customHeight="1" x14ac:dyDescent="0.2">
      <c r="A264" s="22" t="s">
        <v>196</v>
      </c>
      <c r="B264" s="55" t="s">
        <v>439</v>
      </c>
      <c r="C264" s="54" t="s">
        <v>624</v>
      </c>
      <c r="D264" s="14"/>
      <c r="E264" s="14"/>
      <c r="F264" s="18"/>
      <c r="G264" s="14"/>
      <c r="H264" s="13"/>
      <c r="I264" s="13"/>
      <c r="J264" s="16"/>
      <c r="K264" s="16"/>
      <c r="L264" s="14"/>
      <c r="M264" s="14"/>
      <c r="N264" s="14"/>
      <c r="O264" s="14"/>
      <c r="P264" s="14"/>
      <c r="Q264" s="17"/>
      <c r="R264" s="17"/>
      <c r="S264" s="17"/>
      <c r="T264" s="15"/>
      <c r="U264" s="15"/>
      <c r="V264" s="15"/>
      <c r="W264" s="44"/>
      <c r="X264" s="20"/>
      <c r="Y264" s="20"/>
      <c r="Z264" s="20"/>
      <c r="AA264" s="20"/>
      <c r="AB264" s="20"/>
      <c r="AC264" s="20"/>
      <c r="AD264" s="20"/>
      <c r="AE264" s="20"/>
    </row>
    <row r="265" spans="1:31" s="9" customFormat="1" ht="29.25" customHeight="1" x14ac:dyDescent="0.2">
      <c r="A265" s="22" t="s">
        <v>162</v>
      </c>
      <c r="B265" s="54" t="s">
        <v>419</v>
      </c>
      <c r="C265" s="54" t="s">
        <v>594</v>
      </c>
      <c r="D265" s="14"/>
      <c r="E265" s="14"/>
      <c r="F265" s="18"/>
      <c r="G265" s="14"/>
      <c r="H265" s="13"/>
      <c r="I265" s="13"/>
      <c r="J265" s="16"/>
      <c r="K265" s="16"/>
      <c r="L265" s="14"/>
      <c r="M265" s="14"/>
      <c r="N265" s="14"/>
      <c r="O265" s="14"/>
      <c r="P265" s="14"/>
      <c r="Q265" s="17"/>
      <c r="R265" s="17"/>
      <c r="S265" s="17"/>
      <c r="T265" s="15"/>
      <c r="U265" s="15"/>
      <c r="V265" s="15"/>
      <c r="W265" s="44"/>
      <c r="X265" s="20"/>
      <c r="Y265" s="20"/>
      <c r="Z265" s="20"/>
      <c r="AA265" s="20"/>
      <c r="AB265" s="20"/>
      <c r="AC265" s="20"/>
      <c r="AD265" s="20"/>
      <c r="AE265" s="20"/>
    </row>
    <row r="266" spans="1:31" s="9" customFormat="1" ht="29.25" customHeight="1" x14ac:dyDescent="0.2">
      <c r="A266" s="23" t="s">
        <v>125</v>
      </c>
      <c r="B266" s="74" t="s">
        <v>394</v>
      </c>
      <c r="C266" s="66" t="s">
        <v>79</v>
      </c>
      <c r="D266" s="14"/>
      <c r="E266" s="14"/>
      <c r="F266" s="18"/>
      <c r="G266" s="14"/>
      <c r="H266" s="13"/>
      <c r="I266" s="13"/>
      <c r="J266" s="16"/>
      <c r="K266" s="16"/>
      <c r="L266" s="14"/>
      <c r="M266" s="14"/>
      <c r="N266" s="14"/>
      <c r="O266" s="14"/>
      <c r="P266" s="14"/>
      <c r="Q266" s="17"/>
      <c r="R266" s="17"/>
      <c r="S266" s="17"/>
      <c r="T266" s="15"/>
      <c r="U266" s="15"/>
      <c r="V266" s="15"/>
      <c r="W266" s="44"/>
      <c r="X266" s="20"/>
      <c r="Y266" s="20"/>
      <c r="Z266" s="20"/>
      <c r="AA266" s="20"/>
      <c r="AB266" s="20"/>
      <c r="AC266" s="20"/>
      <c r="AD266" s="20"/>
      <c r="AE266" s="20"/>
    </row>
    <row r="267" spans="1:31" s="9" customFormat="1" ht="29.25" customHeight="1" x14ac:dyDescent="0.2">
      <c r="A267" s="14" t="s">
        <v>317</v>
      </c>
      <c r="B267" s="56" t="s">
        <v>534</v>
      </c>
      <c r="C267" s="54" t="s">
        <v>709</v>
      </c>
      <c r="D267" s="14"/>
      <c r="E267" s="14"/>
      <c r="F267" s="18"/>
      <c r="G267" s="14"/>
      <c r="H267" s="13"/>
      <c r="I267" s="13"/>
      <c r="J267" s="16"/>
      <c r="K267" s="16"/>
      <c r="L267" s="14"/>
      <c r="M267" s="14"/>
      <c r="N267" s="14"/>
      <c r="O267" s="14"/>
      <c r="P267" s="14"/>
      <c r="Q267" s="17"/>
      <c r="R267" s="17"/>
      <c r="S267" s="17"/>
      <c r="T267" s="15"/>
      <c r="U267" s="15"/>
      <c r="V267" s="15"/>
      <c r="W267" s="44"/>
      <c r="X267" s="20"/>
      <c r="Y267" s="20"/>
      <c r="Z267" s="20"/>
      <c r="AA267" s="20"/>
      <c r="AB267" s="20"/>
      <c r="AC267" s="20"/>
      <c r="AD267" s="20"/>
      <c r="AE267" s="20"/>
    </row>
    <row r="268" spans="1:31" s="9" customFormat="1" ht="29.25" customHeight="1" x14ac:dyDescent="0.2">
      <c r="A268" s="23" t="s">
        <v>145</v>
      </c>
      <c r="B268" s="54" t="s">
        <v>410</v>
      </c>
      <c r="C268" s="54"/>
      <c r="D268" s="14"/>
      <c r="E268" s="14"/>
      <c r="F268" s="18"/>
      <c r="G268" s="14"/>
      <c r="H268" s="13"/>
      <c r="I268" s="13"/>
      <c r="J268" s="16"/>
      <c r="K268" s="16"/>
      <c r="L268" s="14"/>
      <c r="M268" s="14"/>
      <c r="N268" s="14"/>
      <c r="O268" s="14"/>
      <c r="P268" s="14"/>
      <c r="Q268" s="17"/>
      <c r="R268" s="17"/>
      <c r="S268" s="17"/>
      <c r="T268" s="15"/>
      <c r="U268" s="15"/>
      <c r="V268" s="15"/>
      <c r="W268" s="44"/>
      <c r="X268" s="20"/>
      <c r="Y268" s="20"/>
      <c r="Z268" s="20"/>
      <c r="AA268" s="20"/>
      <c r="AB268" s="20"/>
      <c r="AC268" s="20"/>
      <c r="AD268" s="20"/>
      <c r="AE268" s="20"/>
    </row>
    <row r="269" spans="1:31" s="9" customFormat="1" ht="29.25" customHeight="1" x14ac:dyDescent="0.2">
      <c r="A269" s="14" t="s">
        <v>319</v>
      </c>
      <c r="B269" s="67" t="s">
        <v>536</v>
      </c>
      <c r="C269" s="67" t="s">
        <v>711</v>
      </c>
      <c r="D269" s="14"/>
      <c r="E269" s="14"/>
      <c r="F269" s="18"/>
      <c r="G269" s="14"/>
      <c r="H269" s="13"/>
      <c r="I269" s="13"/>
      <c r="J269" s="16"/>
      <c r="K269" s="16"/>
      <c r="L269" s="14"/>
      <c r="M269" s="14"/>
      <c r="N269" s="14"/>
      <c r="O269" s="14"/>
      <c r="P269" s="14"/>
      <c r="Q269" s="17"/>
      <c r="R269" s="17"/>
      <c r="S269" s="17"/>
      <c r="T269" s="15"/>
      <c r="U269" s="15"/>
      <c r="V269" s="15"/>
      <c r="W269" s="44"/>
      <c r="X269" s="20"/>
      <c r="Y269" s="20"/>
      <c r="Z269" s="20"/>
      <c r="AA269" s="20"/>
      <c r="AB269" s="20"/>
      <c r="AC269" s="20"/>
      <c r="AD269" s="20"/>
      <c r="AE269" s="20"/>
    </row>
    <row r="270" spans="1:31" s="9" customFormat="1" ht="29.25" customHeight="1" x14ac:dyDescent="0.2">
      <c r="A270" s="22" t="s">
        <v>200</v>
      </c>
      <c r="B270" s="56" t="s">
        <v>442</v>
      </c>
      <c r="C270" s="54" t="s">
        <v>627</v>
      </c>
      <c r="D270" s="14"/>
      <c r="E270" s="14"/>
      <c r="F270" s="18"/>
      <c r="G270" s="14"/>
      <c r="H270" s="13"/>
      <c r="I270" s="13"/>
      <c r="J270" s="16"/>
      <c r="K270" s="16"/>
      <c r="L270" s="14"/>
      <c r="M270" s="14"/>
      <c r="N270" s="14"/>
      <c r="O270" s="14"/>
      <c r="P270" s="14"/>
      <c r="Q270" s="17"/>
      <c r="R270" s="17"/>
      <c r="S270" s="17"/>
      <c r="T270" s="15"/>
      <c r="U270" s="15"/>
      <c r="V270" s="15"/>
      <c r="W270" s="44"/>
      <c r="X270" s="20"/>
      <c r="Y270" s="20"/>
      <c r="Z270" s="20"/>
      <c r="AA270" s="20"/>
      <c r="AB270" s="20"/>
      <c r="AC270" s="20"/>
      <c r="AD270" s="20"/>
      <c r="AE270" s="20"/>
    </row>
    <row r="271" spans="1:31" s="9" customFormat="1" ht="29.25" customHeight="1" x14ac:dyDescent="0.2">
      <c r="A271" s="14" t="s">
        <v>321</v>
      </c>
      <c r="B271" s="56" t="s">
        <v>538</v>
      </c>
      <c r="C271" s="54" t="s">
        <v>713</v>
      </c>
      <c r="D271" s="14"/>
      <c r="E271" s="14"/>
      <c r="F271" s="18"/>
      <c r="G271" s="14"/>
      <c r="H271" s="13"/>
      <c r="I271" s="13"/>
      <c r="J271" s="16"/>
      <c r="K271" s="16"/>
      <c r="L271" s="14"/>
      <c r="M271" s="14"/>
      <c r="N271" s="14"/>
      <c r="O271" s="14"/>
      <c r="P271" s="14"/>
      <c r="Q271" s="17"/>
      <c r="R271" s="17"/>
      <c r="S271" s="17"/>
      <c r="T271" s="15"/>
      <c r="U271" s="15"/>
      <c r="V271" s="15"/>
      <c r="W271" s="44"/>
      <c r="X271" s="20"/>
      <c r="Y271" s="20"/>
      <c r="Z271" s="20"/>
      <c r="AA271" s="20"/>
      <c r="AB271" s="20"/>
      <c r="AC271" s="20"/>
      <c r="AD271" s="20"/>
      <c r="AE271" s="20"/>
    </row>
    <row r="272" spans="1:31" s="9" customFormat="1" ht="29.25" customHeight="1" x14ac:dyDescent="0.2">
      <c r="A272" s="14" t="s">
        <v>339</v>
      </c>
      <c r="B272" s="56" t="s">
        <v>409</v>
      </c>
      <c r="C272" s="54" t="s">
        <v>571</v>
      </c>
      <c r="D272" s="14"/>
      <c r="E272" s="14"/>
      <c r="F272" s="18"/>
      <c r="G272" s="14"/>
      <c r="H272" s="13"/>
      <c r="I272" s="13"/>
      <c r="J272" s="16"/>
      <c r="K272" s="16"/>
      <c r="L272" s="14"/>
      <c r="M272" s="14"/>
      <c r="N272" s="14"/>
      <c r="O272" s="14"/>
      <c r="P272" s="14"/>
      <c r="Q272" s="17"/>
      <c r="R272" s="17"/>
      <c r="S272" s="17"/>
      <c r="T272" s="15"/>
      <c r="U272" s="15"/>
      <c r="V272" s="15"/>
      <c r="W272" s="44"/>
      <c r="X272" s="20"/>
      <c r="Y272" s="20"/>
      <c r="Z272" s="20"/>
      <c r="AA272" s="20"/>
      <c r="AB272" s="20"/>
      <c r="AC272" s="20"/>
      <c r="AD272" s="20"/>
      <c r="AE272" s="20"/>
    </row>
    <row r="273" spans="1:31" s="9" customFormat="1" ht="29.25" customHeight="1" x14ac:dyDescent="0.2">
      <c r="A273" s="23" t="s">
        <v>144</v>
      </c>
      <c r="B273" s="54" t="s">
        <v>401</v>
      </c>
      <c r="C273" s="54" t="s">
        <v>594</v>
      </c>
      <c r="D273" s="14"/>
      <c r="E273" s="14"/>
      <c r="F273" s="18"/>
      <c r="G273" s="14"/>
      <c r="H273" s="13"/>
      <c r="I273" s="13"/>
      <c r="J273" s="16"/>
      <c r="K273" s="16"/>
      <c r="L273" s="14"/>
      <c r="M273" s="14"/>
      <c r="N273" s="14"/>
      <c r="O273" s="14"/>
      <c r="P273" s="14"/>
      <c r="Q273" s="17"/>
      <c r="R273" s="17"/>
      <c r="S273" s="17"/>
      <c r="T273" s="15"/>
      <c r="U273" s="15"/>
      <c r="V273" s="15"/>
      <c r="W273" s="44"/>
      <c r="X273" s="20"/>
      <c r="Y273" s="20"/>
      <c r="Z273" s="20"/>
      <c r="AA273" s="20"/>
      <c r="AB273" s="20"/>
      <c r="AC273" s="20"/>
      <c r="AD273" s="20"/>
      <c r="AE273" s="20"/>
    </row>
    <row r="274" spans="1:31" s="9" customFormat="1" ht="29.25" customHeight="1" x14ac:dyDescent="0.2">
      <c r="A274" s="14" t="s">
        <v>344</v>
      </c>
      <c r="B274" s="56" t="s">
        <v>552</v>
      </c>
      <c r="C274" s="54" t="s">
        <v>571</v>
      </c>
      <c r="D274" s="14"/>
      <c r="E274" s="14"/>
      <c r="F274" s="18"/>
      <c r="G274" s="14"/>
      <c r="H274" s="13"/>
      <c r="I274" s="13"/>
      <c r="J274" s="16"/>
      <c r="K274" s="16"/>
      <c r="L274" s="14"/>
      <c r="M274" s="14"/>
      <c r="N274" s="14"/>
      <c r="O274" s="14"/>
      <c r="P274" s="14"/>
      <c r="Q274" s="17"/>
      <c r="R274" s="17"/>
      <c r="S274" s="17"/>
      <c r="T274" s="15"/>
      <c r="U274" s="15"/>
      <c r="V274" s="15"/>
      <c r="W274" s="44"/>
      <c r="X274" s="20"/>
      <c r="Y274" s="20"/>
      <c r="Z274" s="20"/>
      <c r="AA274" s="20"/>
      <c r="AB274" s="20"/>
      <c r="AC274" s="20"/>
      <c r="AD274" s="20"/>
      <c r="AE274" s="20"/>
    </row>
    <row r="275" spans="1:31" s="9" customFormat="1" ht="29.25" customHeight="1" x14ac:dyDescent="0.2">
      <c r="A275" s="14" t="s">
        <v>345</v>
      </c>
      <c r="B275" s="56" t="s">
        <v>552</v>
      </c>
      <c r="C275" s="54" t="s">
        <v>571</v>
      </c>
      <c r="D275" s="14"/>
      <c r="E275" s="14"/>
      <c r="F275" s="18"/>
      <c r="G275" s="14"/>
      <c r="H275" s="13"/>
      <c r="I275" s="13"/>
      <c r="J275" s="16"/>
      <c r="K275" s="16"/>
      <c r="L275" s="14"/>
      <c r="M275" s="14"/>
      <c r="N275" s="14"/>
      <c r="O275" s="14"/>
      <c r="P275" s="14"/>
      <c r="Q275" s="17"/>
      <c r="R275" s="17"/>
      <c r="S275" s="17"/>
      <c r="T275" s="15"/>
      <c r="U275" s="15"/>
      <c r="V275" s="15"/>
      <c r="W275" s="44"/>
      <c r="X275" s="20"/>
      <c r="Y275" s="20"/>
      <c r="Z275" s="20"/>
      <c r="AA275" s="20"/>
      <c r="AB275" s="20"/>
      <c r="AC275" s="20"/>
      <c r="AD275" s="20"/>
      <c r="AE275" s="20"/>
    </row>
    <row r="276" spans="1:31" s="9" customFormat="1" ht="29.25" customHeight="1" x14ac:dyDescent="0.2">
      <c r="A276" s="23" t="s">
        <v>143</v>
      </c>
      <c r="B276" s="54" t="s">
        <v>400</v>
      </c>
      <c r="C276" s="54" t="s">
        <v>594</v>
      </c>
      <c r="D276" s="14"/>
      <c r="E276" s="14"/>
      <c r="F276" s="18"/>
      <c r="G276" s="14"/>
      <c r="H276" s="13"/>
      <c r="I276" s="13"/>
      <c r="J276" s="16"/>
      <c r="K276" s="16"/>
      <c r="L276" s="14"/>
      <c r="M276" s="14"/>
      <c r="N276" s="14"/>
      <c r="O276" s="14"/>
      <c r="P276" s="14"/>
      <c r="Q276" s="17"/>
      <c r="R276" s="17"/>
      <c r="S276" s="17"/>
      <c r="T276" s="15"/>
      <c r="U276" s="15"/>
      <c r="V276" s="15"/>
      <c r="W276" s="44"/>
      <c r="X276" s="20"/>
      <c r="Y276" s="20"/>
      <c r="Z276" s="20"/>
      <c r="AA276" s="20"/>
      <c r="AB276" s="20"/>
      <c r="AC276" s="20"/>
      <c r="AD276" s="20"/>
      <c r="AE276" s="20"/>
    </row>
    <row r="277" spans="1:31" s="9" customFormat="1" ht="29.25" customHeight="1" x14ac:dyDescent="0.2">
      <c r="A277" s="14" t="s">
        <v>143</v>
      </c>
      <c r="B277" s="54" t="s">
        <v>551</v>
      </c>
      <c r="C277" s="54" t="s">
        <v>724</v>
      </c>
      <c r="D277" s="14"/>
      <c r="E277" s="14"/>
      <c r="F277" s="18"/>
      <c r="G277" s="14"/>
      <c r="H277" s="13"/>
      <c r="I277" s="13"/>
      <c r="J277" s="16"/>
      <c r="K277" s="16"/>
      <c r="L277" s="14"/>
      <c r="M277" s="14"/>
      <c r="N277" s="14"/>
      <c r="O277" s="14"/>
      <c r="P277" s="14"/>
      <c r="Q277" s="17"/>
      <c r="R277" s="17"/>
      <c r="S277" s="17"/>
      <c r="T277" s="15"/>
      <c r="U277" s="15"/>
      <c r="V277" s="15"/>
      <c r="W277" s="44"/>
      <c r="X277" s="20"/>
      <c r="Y277" s="20"/>
      <c r="Z277" s="20"/>
      <c r="AA277" s="20"/>
      <c r="AB277" s="20"/>
      <c r="AC277" s="20"/>
      <c r="AD277" s="20"/>
      <c r="AE277" s="20"/>
    </row>
    <row r="278" spans="1:31" s="9" customFormat="1" ht="29.25" customHeight="1" x14ac:dyDescent="0.2">
      <c r="A278" s="23" t="s">
        <v>142</v>
      </c>
      <c r="B278" s="54" t="s">
        <v>409</v>
      </c>
      <c r="C278" s="54" t="s">
        <v>594</v>
      </c>
      <c r="D278" s="14"/>
      <c r="E278" s="14"/>
      <c r="F278" s="18"/>
      <c r="G278" s="14"/>
      <c r="H278" s="13"/>
      <c r="I278" s="13"/>
      <c r="J278" s="16"/>
      <c r="K278" s="16"/>
      <c r="L278" s="14"/>
      <c r="M278" s="14"/>
      <c r="N278" s="14"/>
      <c r="O278" s="14"/>
      <c r="P278" s="14"/>
      <c r="Q278" s="17"/>
      <c r="R278" s="17"/>
      <c r="S278" s="17"/>
      <c r="T278" s="15"/>
      <c r="U278" s="15"/>
      <c r="V278" s="15"/>
      <c r="W278" s="44"/>
      <c r="X278" s="20"/>
      <c r="Y278" s="20"/>
      <c r="Z278" s="20"/>
      <c r="AA278" s="20"/>
      <c r="AB278" s="20"/>
      <c r="AC278" s="20"/>
      <c r="AD278" s="20"/>
      <c r="AE278" s="20"/>
    </row>
    <row r="279" spans="1:31" s="9" customFormat="1" ht="29.25" customHeight="1" x14ac:dyDescent="0.2">
      <c r="A279" s="23" t="s">
        <v>124</v>
      </c>
      <c r="B279" s="59" t="s">
        <v>393</v>
      </c>
      <c r="C279" s="59" t="s">
        <v>588</v>
      </c>
      <c r="D279" s="14"/>
      <c r="E279" s="14"/>
      <c r="F279" s="18"/>
      <c r="G279" s="14"/>
      <c r="H279" s="13"/>
      <c r="I279" s="13"/>
      <c r="J279" s="16"/>
      <c r="K279" s="16"/>
      <c r="L279" s="14"/>
      <c r="M279" s="14"/>
      <c r="N279" s="14"/>
      <c r="O279" s="14"/>
      <c r="P279" s="14"/>
      <c r="Q279" s="17"/>
      <c r="R279" s="17"/>
      <c r="S279" s="17"/>
      <c r="T279" s="15"/>
      <c r="U279" s="15"/>
      <c r="V279" s="15"/>
      <c r="W279" s="44"/>
      <c r="X279" s="20"/>
      <c r="Y279" s="20"/>
      <c r="Z279" s="20"/>
      <c r="AA279" s="20"/>
      <c r="AB279" s="20"/>
      <c r="AC279" s="20"/>
      <c r="AD279" s="20"/>
      <c r="AE279" s="20"/>
    </row>
    <row r="280" spans="1:31" s="9" customFormat="1" ht="29.25" customHeight="1" x14ac:dyDescent="0.2">
      <c r="A280" s="14" t="s">
        <v>289</v>
      </c>
      <c r="B280" s="58"/>
      <c r="C280" s="54"/>
      <c r="F280" s="11"/>
      <c r="G280" s="10"/>
      <c r="H280" s="10"/>
      <c r="I280" s="10"/>
      <c r="J280" s="10"/>
      <c r="K280" s="10"/>
      <c r="L280" s="12"/>
      <c r="M280" s="12"/>
      <c r="N280" s="12"/>
      <c r="O280" s="12"/>
      <c r="P280" s="12"/>
      <c r="X280" s="20"/>
      <c r="Y280" s="20"/>
      <c r="Z280" s="20"/>
      <c r="AA280" s="20"/>
      <c r="AB280" s="20"/>
      <c r="AC280" s="20"/>
      <c r="AD280" s="20"/>
      <c r="AE280" s="20"/>
    </row>
    <row r="281" spans="1:31" s="9" customFormat="1" ht="29.25" customHeight="1" x14ac:dyDescent="0.2">
      <c r="A281" s="22" t="s">
        <v>203</v>
      </c>
      <c r="B281" s="55" t="s">
        <v>444</v>
      </c>
      <c r="C281" s="54" t="s">
        <v>629</v>
      </c>
      <c r="D281" s="14"/>
      <c r="E281" s="14"/>
      <c r="F281" s="18"/>
      <c r="G281" s="14"/>
      <c r="H281" s="13"/>
      <c r="I281" s="13"/>
      <c r="J281" s="16"/>
      <c r="K281" s="16"/>
      <c r="L281" s="14"/>
      <c r="M281" s="14"/>
      <c r="N281" s="14"/>
      <c r="O281" s="14"/>
      <c r="P281" s="14"/>
      <c r="Q281" s="17"/>
      <c r="R281" s="17"/>
      <c r="S281" s="17"/>
      <c r="T281" s="15"/>
      <c r="U281" s="15"/>
      <c r="V281" s="15"/>
      <c r="W281" s="44"/>
      <c r="X281" s="20"/>
      <c r="Y281" s="20"/>
      <c r="Z281" s="20"/>
      <c r="AA281" s="20"/>
      <c r="AB281" s="20"/>
      <c r="AC281" s="20"/>
      <c r="AD281" s="20"/>
      <c r="AE281" s="20"/>
    </row>
    <row r="282" spans="1:31" s="9" customFormat="1" ht="29.25" customHeight="1" x14ac:dyDescent="0.2">
      <c r="A282" s="22" t="s">
        <v>210</v>
      </c>
      <c r="B282" s="54" t="s">
        <v>450</v>
      </c>
      <c r="C282" s="54" t="s">
        <v>633</v>
      </c>
      <c r="F282" s="11"/>
      <c r="G282" s="10"/>
      <c r="H282" s="10"/>
      <c r="I282" s="10"/>
      <c r="J282" s="10"/>
      <c r="K282" s="10"/>
      <c r="L282" s="12"/>
      <c r="M282" s="12"/>
      <c r="N282" s="12"/>
      <c r="O282" s="12"/>
      <c r="P282" s="12"/>
      <c r="X282" s="20"/>
      <c r="Y282" s="20"/>
      <c r="Z282" s="20"/>
      <c r="AA282" s="20"/>
      <c r="AB282" s="20"/>
      <c r="AC282" s="20"/>
      <c r="AD282" s="20"/>
      <c r="AE282" s="20"/>
    </row>
    <row r="283" spans="1:31" s="9" customFormat="1" ht="29.25" customHeight="1" x14ac:dyDescent="0.2">
      <c r="A283" s="22" t="s">
        <v>209</v>
      </c>
      <c r="B283" s="54" t="s">
        <v>449</v>
      </c>
      <c r="C283" s="54" t="s">
        <v>632</v>
      </c>
      <c r="D283" s="14"/>
      <c r="E283" s="14"/>
      <c r="F283" s="18"/>
      <c r="G283" s="14"/>
      <c r="H283" s="13"/>
      <c r="I283" s="13"/>
      <c r="J283" s="16"/>
      <c r="K283" s="16"/>
      <c r="L283" s="14"/>
      <c r="M283" s="14"/>
      <c r="N283" s="14"/>
      <c r="O283" s="14"/>
      <c r="P283" s="14"/>
      <c r="Q283" s="17"/>
      <c r="R283" s="17"/>
      <c r="S283" s="17"/>
      <c r="T283" s="15"/>
      <c r="U283" s="15"/>
      <c r="V283" s="15"/>
      <c r="W283" s="44"/>
      <c r="X283" s="20"/>
      <c r="Y283" s="20"/>
      <c r="Z283" s="20"/>
      <c r="AA283" s="20"/>
      <c r="AB283" s="20"/>
      <c r="AC283" s="20"/>
      <c r="AD283" s="20"/>
      <c r="AE283" s="20"/>
    </row>
    <row r="284" spans="1:31" s="9" customFormat="1" ht="29.25" customHeight="1" x14ac:dyDescent="0.2">
      <c r="A284" s="22" t="s">
        <v>224</v>
      </c>
      <c r="B284" s="54" t="s">
        <v>451</v>
      </c>
      <c r="C284" s="54" t="s">
        <v>643</v>
      </c>
      <c r="F284" s="11"/>
      <c r="G284" s="10"/>
      <c r="H284" s="10"/>
      <c r="I284" s="10"/>
      <c r="J284" s="10"/>
      <c r="K284" s="10"/>
      <c r="L284" s="12"/>
      <c r="M284" s="12"/>
      <c r="N284" s="12"/>
      <c r="O284" s="12"/>
      <c r="P284" s="12"/>
      <c r="X284" s="20"/>
      <c r="Y284" s="20"/>
      <c r="Z284" s="20"/>
      <c r="AA284" s="20"/>
      <c r="AB284" s="20"/>
      <c r="AC284" s="20"/>
      <c r="AD284" s="20"/>
      <c r="AE284" s="20"/>
    </row>
    <row r="285" spans="1:31" s="9" customFormat="1" ht="29.25" customHeight="1" x14ac:dyDescent="0.2">
      <c r="A285" s="23" t="s">
        <v>127</v>
      </c>
      <c r="B285" s="69" t="s">
        <v>396</v>
      </c>
      <c r="C285" s="59" t="s">
        <v>590</v>
      </c>
      <c r="D285" s="14"/>
      <c r="E285" s="14"/>
      <c r="F285" s="18"/>
      <c r="G285" s="14"/>
      <c r="H285" s="13"/>
      <c r="I285" s="13"/>
      <c r="J285" s="16"/>
      <c r="K285" s="16"/>
      <c r="L285" s="14"/>
      <c r="M285" s="14"/>
      <c r="N285" s="14"/>
      <c r="O285" s="14"/>
      <c r="P285" s="14"/>
      <c r="Q285" s="17"/>
      <c r="R285" s="17"/>
      <c r="S285" s="17"/>
      <c r="T285" s="15"/>
      <c r="U285" s="15"/>
      <c r="V285" s="15"/>
      <c r="W285" s="44"/>
      <c r="X285" s="20"/>
      <c r="Y285" s="20"/>
      <c r="Z285" s="20"/>
      <c r="AA285" s="20"/>
      <c r="AB285" s="20"/>
      <c r="AC285" s="20"/>
      <c r="AD285" s="20"/>
      <c r="AE285" s="20"/>
    </row>
    <row r="286" spans="1:31" ht="12.75" customHeight="1" x14ac:dyDescent="0.2">
      <c r="A286" s="23" t="s">
        <v>90</v>
      </c>
      <c r="B286" s="50" t="s">
        <v>367</v>
      </c>
      <c r="C286" s="62" t="s">
        <v>565</v>
      </c>
    </row>
    <row r="287" spans="1:31" ht="12.75" customHeight="1" x14ac:dyDescent="0.2"/>
    <row r="288" spans="1:31"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5" ht="12.75" customHeight="1" x14ac:dyDescent="0.2"/>
    <row r="346" ht="12.75" customHeight="1" x14ac:dyDescent="0.2"/>
    <row r="347"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8" ht="12.75" customHeight="1" x14ac:dyDescent="0.2"/>
    <row r="379" ht="12.75" customHeight="1" x14ac:dyDescent="0.2"/>
    <row r="380" ht="12.75" customHeight="1" x14ac:dyDescent="0.2"/>
    <row r="388" ht="12.75" customHeight="1" x14ac:dyDescent="0.2"/>
    <row r="389" ht="12.75" customHeight="1" x14ac:dyDescent="0.2"/>
    <row r="400" ht="12.75" customHeight="1" x14ac:dyDescent="0.2"/>
    <row r="401"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5" ht="12.75" customHeight="1" x14ac:dyDescent="0.2"/>
    <row r="416" ht="12.75" customHeight="1" x14ac:dyDescent="0.2"/>
    <row r="417" ht="12.75" customHeight="1" x14ac:dyDescent="0.2"/>
    <row r="421" ht="12.75" customHeight="1" x14ac:dyDescent="0.2"/>
    <row r="422" ht="12.75" customHeight="1" x14ac:dyDescent="0.2"/>
    <row r="425" ht="12.75" customHeight="1" x14ac:dyDescent="0.2"/>
    <row r="426" ht="12.75" customHeight="1" x14ac:dyDescent="0.2"/>
    <row r="427"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9" ht="12.75" customHeight="1" x14ac:dyDescent="0.2"/>
    <row r="490" ht="12.75" customHeight="1" x14ac:dyDescent="0.2"/>
    <row r="491" ht="12.75" customHeight="1" x14ac:dyDescent="0.2"/>
  </sheetData>
  <sortState xmlns:xlrd2="http://schemas.microsoft.com/office/spreadsheetml/2017/richdata2" ref="A4:C285">
    <sortCondition ref="A4:A285"/>
  </sortState>
  <dataValidations count="4">
    <dataValidation type="list" allowBlank="1" showInputMessage="1" showErrorMessage="1" sqref="N4:N279" xr:uid="{00000000-0002-0000-0C00-000000000000}">
      <formula1>ListaSGA3</formula1>
    </dataValidation>
    <dataValidation type="list" allowBlank="1" showInputMessage="1" showErrorMessage="1" sqref="O4:P279" xr:uid="{00000000-0002-0000-0C00-000001000000}">
      <formula1>ListaSGA2</formula1>
    </dataValidation>
    <dataValidation type="list" allowBlank="1" showInputMessage="1" showErrorMessage="1" sqref="L4:M279" xr:uid="{00000000-0002-0000-0C00-000002000000}">
      <formula1>ListaSGA1</formula1>
    </dataValidation>
    <dataValidation type="list" allowBlank="1" showInputMessage="1" showErrorMessage="1" sqref="G4:I279" xr:uid="{00000000-0002-0000-0C00-000003000000}">
      <formula1>Lista</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9EA3EE87FA7D444284BB1847E5E1A738" ma:contentTypeVersion="" ma:contentTypeDescription="Crear nuevo documento." ma:contentTypeScope="" ma:versionID="34fbbd52abdf34625bf42d67546e4bbc">
  <xsd:schema xmlns:xsd="http://www.w3.org/2001/XMLSchema" xmlns:xs="http://www.w3.org/2001/XMLSchema" xmlns:p="http://schemas.microsoft.com/office/2006/metadata/properties" xmlns:ns2="$ListId:Formatos;" xmlns:ns3="6b0ea7d2-9a96-44b7-b0c7-b3987d986418" targetNamespace="http://schemas.microsoft.com/office/2006/metadata/properties" ma:root="true" ma:fieldsID="29aa867714fda315ac6b696d92410c7c" ns2:_="" ns3:_="">
    <xsd:import namespace="$ListId:Formatos;"/>
    <xsd:import namespace="6b0ea7d2-9a96-44b7-b0c7-b3987d986418"/>
    <xsd:element name="properties">
      <xsd:complexType>
        <xsd:sequence>
          <xsd:element name="documentManagement">
            <xsd:complexType>
              <xsd:all>
                <xsd:element ref="ns2:Revisado_x0020_por" minOccurs="0"/>
                <xsd:element ref="ns2:Aprobado_x0020_por" minOccurs="0"/>
                <xsd:element ref="ns2:Retenci_x00f3_n" minOccurs="0"/>
                <xsd:element ref="ns2:Disposici_x00f3_n" minOccurs="0"/>
                <xsd:element ref="ns3:Estado_x0020_de_x0020_revisi_x00f3_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ListId:Formatos;" elementFormDefault="qualified">
    <xsd:import namespace="http://schemas.microsoft.com/office/2006/documentManagement/types"/>
    <xsd:import namespace="http://schemas.microsoft.com/office/infopath/2007/PartnerControls"/>
    <xsd:element name="Revisado_x0020_por" ma:index="8" nillable="true" ma:displayName="Revisado por" ma:list="UserInfo" ma:SharePointGroup="0" ma:internalName="Revisado_x0020_po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Aprobado_x0020_por" ma:index="9" nillable="true" ma:displayName="Aprobado por" ma:list="UserInfo" ma:SharePointGroup="0" ma:internalName="Aprobado_x0020_po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etenci_x00f3_n" ma:index="10" nillable="true" ma:displayName="Retención" ma:internalName="Retenci_x00f3_n">
      <xsd:simpleType>
        <xsd:restriction base="dms:Text">
          <xsd:maxLength value="255"/>
        </xsd:restriction>
      </xsd:simpleType>
    </xsd:element>
    <xsd:element name="Disposici_x00f3_n" ma:index="11" nillable="true" ma:displayName="Disposición" ma:description="" ma:format="Dropdown" ma:internalName="Disposici_x00f3_n">
      <xsd:simpleType>
        <xsd:restriction base="dms:Choice">
          <xsd:enumeration value="Eliminar"/>
          <xsd:enumeration value="Borrar"/>
          <xsd:enumeration value="Digitalizar"/>
          <xsd:enumeration value="No aplica"/>
        </xsd:restriction>
      </xsd:simpleType>
    </xsd:element>
  </xsd:schema>
  <xsd:schema xmlns:xsd="http://www.w3.org/2001/XMLSchema" xmlns:xs="http://www.w3.org/2001/XMLSchema" xmlns:dms="http://schemas.microsoft.com/office/2006/documentManagement/types" xmlns:pc="http://schemas.microsoft.com/office/infopath/2007/PartnerControls" targetNamespace="6b0ea7d2-9a96-44b7-b0c7-b3987d986418" elementFormDefault="qualified">
    <xsd:import namespace="http://schemas.microsoft.com/office/2006/documentManagement/types"/>
    <xsd:import namespace="http://schemas.microsoft.com/office/infopath/2007/PartnerControls"/>
    <xsd:element name="Estado_x0020_de_x0020_revisi_x00f3_n" ma:index="12" nillable="true" ma:displayName="Estado de revisión" ma:description="" ma:format="Dropdown" ma:internalName="Estado_x0020_de_x0020_revisi_x00f3_n">
      <xsd:simpleType>
        <xsd:restriction base="dms:Choice">
          <xsd:enumeration value="Conforme"/>
          <xsd:enumeration value="No conforme"/>
          <xsd:enumeration value="En curso"/>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Revisado_x0020_por xmlns="$ListId:Formatos;">
      <UserInfo>
        <DisplayName/>
        <AccountId xsi:nil="true"/>
        <AccountType/>
      </UserInfo>
    </Revisado_x0020_por>
    <Estado_x0020_de_x0020_revisi_x00f3_n xmlns="6b0ea7d2-9a96-44b7-b0c7-b3987d986418" xsi:nil="true"/>
    <Aprobado_x0020_por xmlns="$ListId:Formatos;">
      <UserInfo>
        <DisplayName/>
        <AccountId xsi:nil="true"/>
        <AccountType/>
      </UserInfo>
    </Aprobado_x0020_por>
    <Retenci_x00f3_n xmlns="$ListId:Formatos;" xsi:nil="true"/>
    <Disposici_x00f3_n xmlns="$ListId:Formatos;">Digitalizar</Disposici_x00f3_n>
  </documentManagement>
</p:properties>
</file>

<file path=customXml/itemProps1.xml><?xml version="1.0" encoding="utf-8"?>
<ds:datastoreItem xmlns:ds="http://schemas.openxmlformats.org/officeDocument/2006/customXml" ds:itemID="{6B6ADB10-3C14-4BD2-A58B-7D2A15DD0B9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ListId:Formatos;"/>
    <ds:schemaRef ds:uri="6b0ea7d2-9a96-44b7-b0c7-b3987d98641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740E0D1-B5EE-4CCC-B060-E1FF4D8E9C17}">
  <ds:schemaRefs>
    <ds:schemaRef ds:uri="http://schemas.microsoft.com/sharepoint/v3/contenttype/forms"/>
  </ds:schemaRefs>
</ds:datastoreItem>
</file>

<file path=customXml/itemProps3.xml><?xml version="1.0" encoding="utf-8"?>
<ds:datastoreItem xmlns:ds="http://schemas.openxmlformats.org/officeDocument/2006/customXml" ds:itemID="{E73170ED-A4CA-4000-BF95-9DBC32960314}">
  <ds:schemaRefs>
    <ds:schemaRef ds:uri="6b0ea7d2-9a96-44b7-b0c7-b3987d986418"/>
    <ds:schemaRef ds:uri="http://www.w3.org/XML/1998/namespace"/>
    <ds:schemaRef ds:uri="http://purl.org/dc/terms/"/>
    <ds:schemaRef ds:uri="http://schemas.microsoft.com/office/2006/documentManagement/types"/>
    <ds:schemaRef ds:uri="http://purl.org/dc/dcmitype/"/>
    <ds:schemaRef ds:uri="http://purl.org/dc/elements/1.1/"/>
    <ds:schemaRef ds:uri="http://schemas.openxmlformats.org/package/2006/metadata/core-properties"/>
    <ds:schemaRef ds:uri="http://schemas.microsoft.com/office/2006/metadata/properties"/>
    <ds:schemaRef ds:uri="http://schemas.microsoft.com/office/infopath/2007/PartnerControls"/>
    <ds:schemaRef ds:uri="$ListId:Formato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12</vt:i4>
      </vt:variant>
      <vt:variant>
        <vt:lpstr>Rangos con nombre</vt:lpstr>
      </vt:variant>
      <vt:variant>
        <vt:i4>3</vt:i4>
      </vt:variant>
    </vt:vector>
  </HeadingPairs>
  <TitlesOfParts>
    <vt:vector size="15" baseType="lpstr">
      <vt:lpstr>Instructivo</vt:lpstr>
      <vt:lpstr>Inventario SQ</vt:lpstr>
      <vt:lpstr>Hoja5</vt:lpstr>
      <vt:lpstr>Hoja4</vt:lpstr>
      <vt:lpstr>Hoja1</vt:lpstr>
      <vt:lpstr>Base de datos</vt:lpstr>
      <vt:lpstr>Hoja2</vt:lpstr>
      <vt:lpstr>Etiqueta PQ</vt:lpstr>
      <vt:lpstr>Etiqueta pequeña</vt:lpstr>
      <vt:lpstr>Sustancias controladas</vt:lpstr>
      <vt:lpstr>Sustancias cancerigenas</vt:lpstr>
      <vt:lpstr>Hoja3</vt:lpstr>
      <vt:lpstr>'Etiqueta pequeña'!Área_de_impresión</vt:lpstr>
      <vt:lpstr>'Etiqueta PQ'!Área_de_impresión</vt:lpstr>
      <vt:lpstr>Lista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PRODUCTOS QUÍMICOS</dc:title>
  <dc:creator>Gayso SAS</dc:creator>
  <cp:lastModifiedBy>Jessica Mildred Garcia Builes</cp:lastModifiedBy>
  <cp:lastPrinted>2023-08-28T21:22:50Z</cp:lastPrinted>
  <dcterms:created xsi:type="dcterms:W3CDTF">2005-09-30T14:31:27Z</dcterms:created>
  <dcterms:modified xsi:type="dcterms:W3CDTF">2023-08-29T16:24:11Z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0x0101009EA3EE87FA7D444284BB1847E5E1A738</vt:lpwstr>
  </property>
</Properties>
</file>
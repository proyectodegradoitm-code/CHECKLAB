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0794AE38-9F08-4FFB-BE1F-E66822ABB9F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strucciones" sheetId="11" r:id="rId1"/>
    <sheet name="Registro" sheetId="9" r:id="rId2"/>
    <sheet name="Ducha" sheetId="4" state="hidden" r:id="rId3"/>
    <sheet name="Extintores" sheetId="5" state="hidden" r:id="rId4"/>
    <sheet name="Botiquín" sheetId="6" state="hidden" r:id="rId5"/>
    <sheet name="Kit derrames" sheetId="8" state="hidden" r:id="rId6"/>
    <sheet name="Kit derrames hidrocarburos" sheetId="10" state="hidden" r:id="rId7"/>
    <sheet name="Kit derrames mercurio" sheetId="12" state="hidden" r:id="rId8"/>
  </sheets>
  <definedNames>
    <definedName name="_xlnm.Print_Area" localSheetId="4">Botiquín!$A$1:$Y$56</definedName>
    <definedName name="_xlnm.Print_Area" localSheetId="2">Ducha!$A$1:$AB$41</definedName>
    <definedName name="_xlnm.Print_Area" localSheetId="3">Extintores!$A$1:$AI$39</definedName>
    <definedName name="_xlnm.Print_Area" localSheetId="0">Instrucciones!$A$1:$AB$75</definedName>
    <definedName name="_xlnm.Print_Area" localSheetId="5">'Kit derrames'!$A$1:$AD$45</definedName>
    <definedName name="_xlnm.Print_Area" localSheetId="6">'Kit derrames hidrocarburos'!$A$1:$AE$37</definedName>
    <definedName name="_xlnm.Print_Area" localSheetId="7">'Kit derrames mercurio'!$A$1:$AA$37</definedName>
    <definedName name="_xlnm.Print_Area" localSheetId="1">Registro!$A$1:$AA$12</definedName>
    <definedName name="_xlnm.Print_Titles" localSheetId="4">Botiquín!$1:$10</definedName>
    <definedName name="_xlnm.Print_Titles" localSheetId="2">Ducha!$1:$11</definedName>
    <definedName name="_xlnm.Print_Titles" localSheetId="3">Extintores!$1:$11</definedName>
    <definedName name="_xlnm.Print_Titles" localSheetId="5">'Kit derrames'!$1:$11</definedName>
    <definedName name="_xlnm.Print_Titles" localSheetId="6">'Kit derrames hidrocarburos'!$1:$11</definedName>
    <definedName name="_xlnm.Print_Titles" localSheetId="7">'Kit derrames mercurio'!$1:$11</definedName>
  </definedNames>
  <calcPr calcId="191029"/>
</workbook>
</file>

<file path=xl/calcChain.xml><?xml version="1.0" encoding="utf-8"?>
<calcChain xmlns="http://schemas.openxmlformats.org/spreadsheetml/2006/main">
  <c r="K6" i="9" l="1"/>
  <c r="H5" i="12"/>
  <c r="P56" i="6" l="1"/>
  <c r="L56" i="6"/>
  <c r="P55" i="6"/>
  <c r="L55" i="6"/>
  <c r="P54" i="6"/>
  <c r="L54" i="6"/>
  <c r="P53" i="6"/>
  <c r="L53" i="6"/>
  <c r="P52" i="6"/>
  <c r="L52" i="6"/>
  <c r="P51" i="6"/>
  <c r="L51" i="6"/>
  <c r="P50" i="6"/>
  <c r="L50" i="6"/>
  <c r="P49" i="6"/>
  <c r="L49" i="6"/>
  <c r="P48" i="6"/>
  <c r="L48" i="6"/>
  <c r="P47" i="6"/>
  <c r="L47" i="6"/>
  <c r="P46" i="6"/>
  <c r="L46" i="6"/>
  <c r="P45" i="6"/>
  <c r="L45" i="6"/>
  <c r="P39" i="6"/>
  <c r="L39" i="6"/>
  <c r="P38" i="6"/>
  <c r="L38" i="6"/>
  <c r="P37" i="6"/>
  <c r="L37" i="6"/>
  <c r="P36" i="6"/>
  <c r="L36" i="6"/>
  <c r="P35" i="6"/>
  <c r="L35" i="6"/>
  <c r="P34" i="6"/>
  <c r="L34" i="6"/>
  <c r="P33" i="6"/>
  <c r="L33" i="6"/>
  <c r="P32" i="6"/>
  <c r="L32" i="6"/>
  <c r="P31" i="6"/>
  <c r="L31" i="6"/>
  <c r="P30" i="6"/>
  <c r="L30" i="6"/>
  <c r="P29" i="6"/>
  <c r="L29" i="6"/>
  <c r="P28" i="6"/>
  <c r="L28" i="6"/>
  <c r="I5" i="10" l="1"/>
  <c r="H5" i="8"/>
  <c r="G5" i="6"/>
  <c r="J5" i="5"/>
  <c r="I5" i="4"/>
  <c r="P12" i="6" l="1"/>
  <c r="P13" i="6"/>
  <c r="P14" i="6"/>
  <c r="P15" i="6"/>
  <c r="P16" i="6"/>
  <c r="P17" i="6"/>
  <c r="P18" i="6"/>
  <c r="P19" i="6"/>
  <c r="P20" i="6"/>
  <c r="P21" i="6"/>
  <c r="P22" i="6"/>
  <c r="L11" i="6"/>
  <c r="P11" i="6" l="1"/>
  <c r="AP1" i="5" l="1"/>
  <c r="AS1" i="5" s="1"/>
  <c r="L12" i="6"/>
  <c r="L13" i="6"/>
  <c r="L14" i="6"/>
  <c r="L15" i="6"/>
  <c r="L16" i="6"/>
  <c r="L17" i="6"/>
  <c r="L18" i="6"/>
  <c r="L19" i="6"/>
  <c r="L20" i="6"/>
  <c r="L21" i="6"/>
  <c r="L22" i="6"/>
  <c r="AQ1" i="5" l="1"/>
  <c r="AR1" i="5"/>
</calcChain>
</file>

<file path=xl/sharedStrings.xml><?xml version="1.0" encoding="utf-8"?>
<sst xmlns="http://schemas.openxmlformats.org/spreadsheetml/2006/main" count="457" uniqueCount="259">
  <si>
    <t>Observaciones</t>
  </si>
  <si>
    <t>Versión</t>
  </si>
  <si>
    <t xml:space="preserve">Fecha </t>
  </si>
  <si>
    <t>Código</t>
  </si>
  <si>
    <t>Clara</t>
  </si>
  <si>
    <t>Si</t>
  </si>
  <si>
    <t>No</t>
  </si>
  <si>
    <t>Turbia</t>
  </si>
  <si>
    <t>El desagüe presenta obstrucción</t>
  </si>
  <si>
    <t>El indicador de presión se encuentra en la zona de operación (Si aplica)</t>
  </si>
  <si>
    <t>Alcohol</t>
  </si>
  <si>
    <t>Algodón</t>
  </si>
  <si>
    <t>Copitos o aplicadores</t>
  </si>
  <si>
    <t>Curas</t>
  </si>
  <si>
    <t>Gasas</t>
  </si>
  <si>
    <t>Guantes</t>
  </si>
  <si>
    <t>Micropore</t>
  </si>
  <si>
    <t>Solución salina</t>
  </si>
  <si>
    <t>Tapabocas</t>
  </si>
  <si>
    <t>Tijera</t>
  </si>
  <si>
    <t>Vendaje</t>
  </si>
  <si>
    <t>Elemento</t>
  </si>
  <si>
    <t>Cantidad requerida</t>
  </si>
  <si>
    <t>Cantidad actual</t>
  </si>
  <si>
    <t>Meses para el vencimiento</t>
  </si>
  <si>
    <r>
      <rPr>
        <b/>
        <sz val="10.5"/>
        <rFont val="Arial Narrow"/>
        <family val="2"/>
      </rPr>
      <t>La p</t>
    </r>
    <r>
      <rPr>
        <b/>
        <sz val="10.5"/>
        <color theme="1"/>
        <rFont val="Arial Narrow"/>
        <family val="2"/>
      </rPr>
      <t>resión de salida del agua es adecuada</t>
    </r>
  </si>
  <si>
    <r>
      <t>Buen</t>
    </r>
    <r>
      <rPr>
        <b/>
        <sz val="10.5"/>
        <rFont val="Arial Narrow"/>
        <family val="2"/>
      </rPr>
      <t xml:space="preserve">o </t>
    </r>
  </si>
  <si>
    <r>
      <t>Mal</t>
    </r>
    <r>
      <rPr>
        <b/>
        <sz val="10.5"/>
        <rFont val="Arial Narrow"/>
        <family val="2"/>
      </rPr>
      <t>o</t>
    </r>
    <r>
      <rPr>
        <b/>
        <sz val="10.5"/>
        <color theme="1"/>
        <rFont val="Arial Narrow"/>
        <family val="2"/>
      </rPr>
      <t xml:space="preserve"> </t>
    </r>
  </si>
  <si>
    <t>Elemento de actuación y protección</t>
  </si>
  <si>
    <t>Ducha de emergencia y Lavaojos</t>
  </si>
  <si>
    <t>Extintores</t>
  </si>
  <si>
    <t>Botiquín</t>
  </si>
  <si>
    <t>Kit control de derrames</t>
  </si>
  <si>
    <t>CONTROL ELEMENTOS DE ACTUACIÓN Y PROTECCIÓN</t>
  </si>
  <si>
    <t>Fecha de vencimiento</t>
  </si>
  <si>
    <t>Inspección botiquín</t>
  </si>
  <si>
    <t>Baja lenguas</t>
  </si>
  <si>
    <t>Se encuentra en buen estado</t>
  </si>
  <si>
    <t>Periodicidad</t>
  </si>
  <si>
    <r>
      <t xml:space="preserve">Estado de </t>
    </r>
    <r>
      <rPr>
        <b/>
        <sz val="10.5"/>
        <rFont val="Arial Narrow"/>
        <family val="2"/>
      </rPr>
      <t>la</t>
    </r>
    <r>
      <rPr>
        <b/>
        <sz val="10.5"/>
        <color theme="5"/>
        <rFont val="Arial Narrow"/>
        <family val="2"/>
      </rPr>
      <t xml:space="preserve"> </t>
    </r>
    <r>
      <rPr>
        <b/>
        <sz val="10.5"/>
        <color theme="1"/>
        <rFont val="Arial Narrow"/>
        <family val="2"/>
      </rPr>
      <t>manija de accionamiento</t>
    </r>
  </si>
  <si>
    <t>Posee señalización y se encuentra en lugar visible</t>
  </si>
  <si>
    <t>Color del agua de la ducha y lavaojos</t>
  </si>
  <si>
    <t>Fecha de revisión</t>
  </si>
  <si>
    <t>Se encuentra en el lugar asignado y no presenta muestras aparentes de daños</t>
  </si>
  <si>
    <r>
      <rPr>
        <b/>
        <sz val="10.5"/>
        <rFont val="Arial Narrow"/>
        <family val="2"/>
      </rPr>
      <t xml:space="preserve">Posee señalización y se encuentra </t>
    </r>
    <r>
      <rPr>
        <b/>
        <sz val="10.5"/>
        <color theme="1"/>
        <rFont val="Arial Narrow"/>
        <family val="2"/>
      </rPr>
      <t>en lugar visible</t>
    </r>
  </si>
  <si>
    <t>Placa o ID</t>
  </si>
  <si>
    <t>Elementos del botiquín</t>
  </si>
  <si>
    <r>
      <t xml:space="preserve">Estado de </t>
    </r>
    <r>
      <rPr>
        <b/>
        <sz val="10.5"/>
        <rFont val="Arial Narrow"/>
        <family val="2"/>
      </rPr>
      <t>la</t>
    </r>
    <r>
      <rPr>
        <b/>
        <sz val="10.5"/>
        <color theme="5"/>
        <rFont val="Arial Narrow"/>
        <family val="2"/>
      </rPr>
      <t xml:space="preserve"> </t>
    </r>
    <r>
      <rPr>
        <b/>
        <sz val="10.5"/>
        <color theme="1"/>
        <rFont val="Arial Narrow"/>
        <family val="2"/>
      </rPr>
      <t>manija de accionamiento y sujeción</t>
    </r>
  </si>
  <si>
    <t>Estado de la manguera, seguro y boquilla</t>
  </si>
  <si>
    <t>Se encuentra libre de obstáculos</t>
  </si>
  <si>
    <t>El contenido del neutralizador de ácidos se encuentra en buen estado</t>
  </si>
  <si>
    <t>El contenido del neutralizador de bases se encuentra en buen estado</t>
  </si>
  <si>
    <t>El contenido del neutralizador de solventes se encuentra en buen estado</t>
  </si>
  <si>
    <t>El contenido del neutralizador de hidrocarburos se encuentra en buen estado</t>
  </si>
  <si>
    <t>Botiquín de primeros auxilios</t>
  </si>
  <si>
    <t xml:space="preserve">Nombre Taller o Laboratorio: </t>
  </si>
  <si>
    <t xml:space="preserve">Ubicación: </t>
  </si>
  <si>
    <t>Laboratorio de Análisis Medición y Soporte Decisión – AMYSOD</t>
  </si>
  <si>
    <t>F-201</t>
  </si>
  <si>
    <t>Laboratorio Automatización Industrial</t>
  </si>
  <si>
    <t>G-205</t>
  </si>
  <si>
    <t>Laboratorio Biomecánica y Rehabilitación</t>
  </si>
  <si>
    <t>Bloque O - No. 3</t>
  </si>
  <si>
    <t>Laboratorio Circuitos Eléctricos y Electrónica</t>
  </si>
  <si>
    <t>G-202</t>
  </si>
  <si>
    <t xml:space="preserve">Laboratorio Circuitos Eléctricos y Electrónica </t>
  </si>
  <si>
    <t>G-203</t>
  </si>
  <si>
    <t xml:space="preserve">Laboratorio Circuitos Eléctricos y Electrónica  </t>
  </si>
  <si>
    <t>K-103</t>
  </si>
  <si>
    <t xml:space="preserve">Laboratorio Circuitos Eléctricos y Electrónica   </t>
  </si>
  <si>
    <t>K-104</t>
  </si>
  <si>
    <t xml:space="preserve">Laboratorio Circuitos Eléctricos y Electrónica    </t>
  </si>
  <si>
    <t>M-102</t>
  </si>
  <si>
    <t>Laboratorio Conmutación</t>
  </si>
  <si>
    <t>K-105</t>
  </si>
  <si>
    <t>Laboratorio Construcción 01</t>
  </si>
  <si>
    <t>G-9901</t>
  </si>
  <si>
    <t>Laboratorio Construcción 02</t>
  </si>
  <si>
    <t>G-9902</t>
  </si>
  <si>
    <t>Laboratorio Control Lógico Programable - PLC</t>
  </si>
  <si>
    <t>G-206</t>
  </si>
  <si>
    <t>Laboratorio Control Lógico Programable - PLC 01</t>
  </si>
  <si>
    <t>M-109</t>
  </si>
  <si>
    <t>Laboratorio Control Lógico Programable - PLC 02</t>
  </si>
  <si>
    <t>M-110</t>
  </si>
  <si>
    <t>Laboratorio de Artes Digitales</t>
  </si>
  <si>
    <t>Nivel 3</t>
  </si>
  <si>
    <t>Laboratorio de Biomateriales y Electromedicina</t>
  </si>
  <si>
    <t>Sótano 2, Bloque M 9809</t>
  </si>
  <si>
    <t>Laboratorio de Centro de Ciencias de la Computación - C3</t>
  </si>
  <si>
    <t>G-103</t>
  </si>
  <si>
    <t>Laboratorio de Ciencias Administrativas</t>
  </si>
  <si>
    <t>Nivel 1</t>
  </si>
  <si>
    <t>Laboratorio de Ciencias Biomédicas</t>
  </si>
  <si>
    <t>H-102</t>
  </si>
  <si>
    <t>Laboratorio de Ciencias Computacionales</t>
  </si>
  <si>
    <t>Nivel 5</t>
  </si>
  <si>
    <t>Laboratorio de Ciencias Térmicas</t>
  </si>
  <si>
    <t>Sótano 2, Bloque M-9803</t>
  </si>
  <si>
    <t>Laboratorio de Curaduría</t>
  </si>
  <si>
    <t>L-307</t>
  </si>
  <si>
    <t>Laboratorio de Electrónica y Energías Renovables</t>
  </si>
  <si>
    <t>Nivel 4</t>
  </si>
  <si>
    <t>Laboratorio de Energía Eléctrica y Potencia</t>
  </si>
  <si>
    <t>Laboratorio de Física</t>
  </si>
  <si>
    <t>Piso 1, Bloque M-103</t>
  </si>
  <si>
    <t>Laboratorio de Grabación Musical</t>
  </si>
  <si>
    <t xml:space="preserve">FAH-115 </t>
  </si>
  <si>
    <t>Laboratorio de Ingeniería Biomédica</t>
  </si>
  <si>
    <t>Laboratorio de Innovación Social</t>
  </si>
  <si>
    <t>Laboratorio de Máquinas Inteligentes y Reconocimiento de Patrones</t>
  </si>
  <si>
    <t>Nivel 2</t>
  </si>
  <si>
    <t>Laboratorio de Matemáticas y NTIC´S</t>
  </si>
  <si>
    <t xml:space="preserve">Nivel 3  </t>
  </si>
  <si>
    <t>Laboratorio de Materiales Poliméricos</t>
  </si>
  <si>
    <t>Sótano 2, Bloque M-9804</t>
  </si>
  <si>
    <t>Laboratorio de Microscopia Electrónica de Barrido</t>
  </si>
  <si>
    <t>Sótano 2, Bloque M-9805</t>
  </si>
  <si>
    <t>Laboratorio de Modelado</t>
  </si>
  <si>
    <t>Bloque F-202</t>
  </si>
  <si>
    <t>Laboratorio de Óptica, Fotónica y Visión Artificial</t>
  </si>
  <si>
    <t>Sótano 2, Bloque M-9811</t>
  </si>
  <si>
    <t>Laboratorio de Optoelectrónica</t>
  </si>
  <si>
    <t>Sótano 2,Bloque M-9811</t>
  </si>
  <si>
    <t>Laboratorio de Química y Caracterización</t>
  </si>
  <si>
    <t>Sótano 2, Bloque M-9806</t>
  </si>
  <si>
    <t>Laboratorio de Sala MAC-Cine</t>
  </si>
  <si>
    <t>FAH-207</t>
  </si>
  <si>
    <t>Laboratorio de Simulación, Modelado y Prototipos</t>
  </si>
  <si>
    <t>Laboratorio de Sistemas Control y Robótica</t>
  </si>
  <si>
    <t>Laboratorio de Sistemas de Información</t>
  </si>
  <si>
    <t>Bloque O- No. 5</t>
  </si>
  <si>
    <t>Laboratorio de Sostenibilidad</t>
  </si>
  <si>
    <t>Bloque G-104</t>
  </si>
  <si>
    <t>Laboratorio Edición Musical</t>
  </si>
  <si>
    <t>FAH-101</t>
  </si>
  <si>
    <t xml:space="preserve">Laboratorio Edición Musical </t>
  </si>
  <si>
    <t>FAH-301</t>
  </si>
  <si>
    <t xml:space="preserve">Laboratorio Financiero y Empresarial </t>
  </si>
  <si>
    <t>M-105</t>
  </si>
  <si>
    <t>Laboratorio Física Mecánica</t>
  </si>
  <si>
    <t>G-306</t>
  </si>
  <si>
    <t>Laboratorio Física Mecánica 01</t>
  </si>
  <si>
    <t>M-106</t>
  </si>
  <si>
    <t>Laboratorio Física Mecánica 02</t>
  </si>
  <si>
    <t>M-107</t>
  </si>
  <si>
    <t>Laboratorio Física Moderna</t>
  </si>
  <si>
    <t>M-104</t>
  </si>
  <si>
    <t>Laboratorio Fluidos</t>
  </si>
  <si>
    <t>G-405</t>
  </si>
  <si>
    <t>Laboratorio Grabación, Edición y Mezcla 5.1</t>
  </si>
  <si>
    <t>G-302</t>
  </si>
  <si>
    <t>Laboratorio Hidráulica – Neumática</t>
  </si>
  <si>
    <t>G-404</t>
  </si>
  <si>
    <t>Laboratorio Idiomas</t>
  </si>
  <si>
    <t>H-301</t>
  </si>
  <si>
    <t xml:space="preserve">Laboratorio Idiomas </t>
  </si>
  <si>
    <t>H-303</t>
  </si>
  <si>
    <t xml:space="preserve">Laboratorio Idiomas  </t>
  </si>
  <si>
    <t>L-403</t>
  </si>
  <si>
    <t>Laboratorio Ingeniería Biomédica</t>
  </si>
  <si>
    <t>H-204</t>
  </si>
  <si>
    <t>Laboratorio Interoperabilidad</t>
  </si>
  <si>
    <t>N-101</t>
  </si>
  <si>
    <t>Laboratorio Luces, Sonido y Acústica</t>
  </si>
  <si>
    <t>Auditorio</t>
  </si>
  <si>
    <t>Laboratorio Mantenimiento de Equipos Biomédicos</t>
  </si>
  <si>
    <t>G-406</t>
  </si>
  <si>
    <t xml:space="preserve">Laboratorio Mantenimiento de Equipos Biomédicos </t>
  </si>
  <si>
    <t>G-407</t>
  </si>
  <si>
    <t>Laboratorio Máquinas Eléctricas</t>
  </si>
  <si>
    <t>G-204</t>
  </si>
  <si>
    <t>Laboratorio Matemáticas - Estadística</t>
  </si>
  <si>
    <t>N-212</t>
  </si>
  <si>
    <t>Laboratorio Mecatrónica</t>
  </si>
  <si>
    <t>G-307</t>
  </si>
  <si>
    <t>Laboratorio Medidas para la Producción</t>
  </si>
  <si>
    <t>G-305</t>
  </si>
  <si>
    <t xml:space="preserve">Laboratorio Metrología </t>
  </si>
  <si>
    <t>Bloque O - No. 4</t>
  </si>
  <si>
    <t>Laboratorio Metrología Biomédica</t>
  </si>
  <si>
    <t>Laboratorio Metrología e Instrumentación</t>
  </si>
  <si>
    <t>G-303</t>
  </si>
  <si>
    <t xml:space="preserve">Laboratorio Metrología e Instrumentación </t>
  </si>
  <si>
    <t>G-304</t>
  </si>
  <si>
    <t>Laboratorio Metrología Industrial</t>
  </si>
  <si>
    <t>Laboratorio Microelectrónica y Nanotecnología</t>
  </si>
  <si>
    <t>Bloque O - No. 2</t>
  </si>
  <si>
    <t>Laboratorio Producción</t>
  </si>
  <si>
    <t>G-402</t>
  </si>
  <si>
    <t xml:space="preserve">Laboratorio Producción  </t>
  </si>
  <si>
    <t>G-403</t>
  </si>
  <si>
    <t>Laboratorio Producción Musical</t>
  </si>
  <si>
    <t>FAH-204</t>
  </si>
  <si>
    <t>Laboratorio Química</t>
  </si>
  <si>
    <t>G-102</t>
  </si>
  <si>
    <t>Laboratorio Química y Termodinámica</t>
  </si>
  <si>
    <t>M-108</t>
  </si>
  <si>
    <t>Laboratorio Radio Propagación</t>
  </si>
  <si>
    <t>N-501</t>
  </si>
  <si>
    <t>Laboratorio Redes Convergentes</t>
  </si>
  <si>
    <t>Bloque O - No. 1</t>
  </si>
  <si>
    <t>Laboratorio Sala de Teclados</t>
  </si>
  <si>
    <t>FAH-111</t>
  </si>
  <si>
    <t xml:space="preserve">Laboratorio Sala de Teclados </t>
  </si>
  <si>
    <t>FAH-212</t>
  </si>
  <si>
    <t>Laboratorio Sala Mac de Dibujo, Imagen Digital y Diseño</t>
  </si>
  <si>
    <t>FAH-104</t>
  </si>
  <si>
    <t>Laboratorio Sistemas de Comunicaciones</t>
  </si>
  <si>
    <t>N-102</t>
  </si>
  <si>
    <t>Taller de Artes y Escultura</t>
  </si>
  <si>
    <t>FAH  - 114</t>
  </si>
  <si>
    <t>Taller Diseño Industrial</t>
  </si>
  <si>
    <t>H-101</t>
  </si>
  <si>
    <t xml:space="preserve">Taller Diseño Industrial </t>
  </si>
  <si>
    <t>H-104</t>
  </si>
  <si>
    <t xml:space="preserve">Taller Diseño Industrial  </t>
  </si>
  <si>
    <t>H-105</t>
  </si>
  <si>
    <t xml:space="preserve">Taller Diseño Industrial   </t>
  </si>
  <si>
    <t>H-106</t>
  </si>
  <si>
    <t>Taller Máquinas - Herramientas</t>
  </si>
  <si>
    <t>G-101</t>
  </si>
  <si>
    <t>Taller Redes de Gas</t>
  </si>
  <si>
    <t>109 Primer piso</t>
  </si>
  <si>
    <t>Taller Soldadura</t>
  </si>
  <si>
    <t>E-9901</t>
  </si>
  <si>
    <t>Ducha</t>
  </si>
  <si>
    <t>Taller o Laboratorio</t>
  </si>
  <si>
    <t>Taller o Laboratorio:</t>
  </si>
  <si>
    <t>Botiquín 1</t>
  </si>
  <si>
    <t>Botiquín 2</t>
  </si>
  <si>
    <t>Botiquín 3</t>
  </si>
  <si>
    <t>Identificación ducha</t>
  </si>
  <si>
    <t>Elemento de actuación y protección:</t>
  </si>
  <si>
    <t>Kit derrames</t>
  </si>
  <si>
    <t>Placa o ID del Extintor</t>
  </si>
  <si>
    <t>AAAA-MM-DD</t>
  </si>
  <si>
    <t>Kit control de derrames para ácidos, bases y solventes</t>
  </si>
  <si>
    <t>Kit control de derrames para hidrocarburos</t>
  </si>
  <si>
    <t>Placa o ID del kit</t>
  </si>
  <si>
    <t>Cuenta con los elementos de protección personal</t>
  </si>
  <si>
    <t>La pala antichispa se encuentra en buen estado</t>
  </si>
  <si>
    <t>Las almohadas y paños absorbentes se encuentra en buen estado</t>
  </si>
  <si>
    <t>Kit derrames hidrocarburos</t>
  </si>
  <si>
    <r>
      <t>Fecha de vencimiento
(</t>
    </r>
    <r>
      <rPr>
        <b/>
        <sz val="9"/>
        <color theme="1"/>
        <rFont val="Arial Narrow"/>
        <family val="2"/>
      </rPr>
      <t>AAAA-MM-DD)</t>
    </r>
  </si>
  <si>
    <t>2 meses</t>
  </si>
  <si>
    <t>6 meses</t>
  </si>
  <si>
    <t>Laboratorio de Manufactura Sostenible</t>
  </si>
  <si>
    <t>Sótano 1</t>
  </si>
  <si>
    <t>15 días</t>
  </si>
  <si>
    <t>1 mes</t>
  </si>
  <si>
    <t>Kit control de derrames para mercurio</t>
  </si>
  <si>
    <t>Cuenta con las toallas de papel , la bolsa hermética y el cartón</t>
  </si>
  <si>
    <t>La linterna se encuentra en buen estado</t>
  </si>
  <si>
    <t>Cuenta con cinta ancha para remover las gotas de mercurio</t>
  </si>
  <si>
    <t>Kit derrames mercurio</t>
  </si>
  <si>
    <t>Cuenta con escobilla, recogedor, guantes, gafas, bolsa plástica</t>
  </si>
  <si>
    <r>
      <rPr>
        <b/>
        <sz val="10.5"/>
        <rFont val="Arial Narrow"/>
        <family val="2"/>
      </rPr>
      <t xml:space="preserve">Instrucciones:
</t>
    </r>
    <r>
      <rPr>
        <b/>
        <u/>
        <sz val="10.5"/>
        <rFont val="Arial Narrow"/>
        <family val="2"/>
      </rPr>
      <t xml:space="preserve">Desbloquear el archivo: </t>
    </r>
    <r>
      <rPr>
        <b/>
        <sz val="10.5"/>
        <rFont val="Arial Narrow"/>
        <family val="2"/>
      </rPr>
      <t xml:space="preserve">
</t>
    </r>
    <r>
      <rPr>
        <sz val="10.5"/>
        <rFont val="Arial Narrow"/>
        <family val="2"/>
      </rPr>
      <t xml:space="preserve">1. Ubique el archivo descargado.
2. Haga clic derecho sobre el archivo.
3. Seleccione "Propiedades".
4. En la pestaña "General", haga clic en "Desbloquear".
5. Presione "Aceptar" y luego abra el archivo.
</t>
    </r>
    <r>
      <rPr>
        <b/>
        <i/>
        <u/>
        <sz val="10.5"/>
        <rFont val="Arial Narrow"/>
        <family val="2"/>
      </rPr>
      <t>Pestaña Registro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 xml:space="preserve">Taller o Laboratorio: </t>
    </r>
    <r>
      <rPr>
        <sz val="10.5"/>
        <rFont val="Arial Narrow"/>
        <family val="2"/>
      </rPr>
      <t xml:space="preserve">por medio de lista desplegable, seleccione el taller o laboratorio para el cual se va a registrar la revisión.
2. </t>
    </r>
    <r>
      <rPr>
        <u/>
        <sz val="10.5"/>
        <rFont val="Arial Narrow"/>
        <family val="2"/>
      </rPr>
      <t>Elemento de actuación y protección:</t>
    </r>
    <r>
      <rPr>
        <sz val="10.5"/>
        <rFont val="Arial Narrow"/>
        <family val="2"/>
      </rPr>
      <t xml:space="preserve"> seleccione el elemento a revisar , teniendo en cuenta la periodicidad.
3. </t>
    </r>
    <r>
      <rPr>
        <u/>
        <sz val="10.5"/>
        <rFont val="Arial Narrow"/>
        <family val="2"/>
      </rPr>
      <t xml:space="preserve">Registrar: </t>
    </r>
    <r>
      <rPr>
        <sz val="10.5"/>
        <rFont val="Arial Narrow"/>
        <family val="2"/>
      </rPr>
      <t xml:space="preserve">una vez que hayas seleccionado la información, haz clic en el botón "Registrar" para completar  la revisión.
</t>
    </r>
    <r>
      <rPr>
        <b/>
        <i/>
        <u/>
        <sz val="10.5"/>
        <rFont val="Arial Narrow"/>
        <family val="2"/>
      </rPr>
      <t>Pestaña del elemento seleccionado</t>
    </r>
    <r>
      <rPr>
        <sz val="10.5"/>
        <rFont val="Arial Narrow"/>
        <family val="2"/>
      </rPr>
      <t xml:space="preserve">
</t>
    </r>
    <r>
      <rPr>
        <b/>
        <sz val="10.5"/>
        <rFont val="Arial Narrow"/>
        <family val="2"/>
      </rPr>
      <t>Ducha de emergencia y Lavaojos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>Periodicidad:</t>
    </r>
    <r>
      <rPr>
        <sz val="10.5"/>
        <rFont val="Arial Narrow"/>
        <family val="2"/>
      </rPr>
      <t xml:space="preserve"> seleccione la frecuencia de revisión de la ducha (15 días o 1 mes, según corresponda).
2. </t>
    </r>
    <r>
      <rPr>
        <u/>
        <sz val="10.5"/>
        <rFont val="Arial Narrow"/>
        <family val="2"/>
      </rPr>
      <t xml:space="preserve">Fecha de revisión: </t>
    </r>
    <r>
      <rPr>
        <sz val="10.5"/>
        <rFont val="Arial Narrow"/>
        <family val="2"/>
      </rPr>
      <t xml:space="preserve">ingrese la fecha en la que se realizó la revisión.
3. </t>
    </r>
    <r>
      <rPr>
        <u/>
        <sz val="10.5"/>
        <rFont val="Arial Narrow"/>
        <family val="2"/>
      </rPr>
      <t>Identificación:</t>
    </r>
    <r>
      <rPr>
        <sz val="10.5"/>
        <rFont val="Arial Narrow"/>
        <family val="2"/>
      </rPr>
      <t xml:space="preserve"> si hay varias duchas en el Taller o Laboratorio, asigne un número de identificación a cada una e ingreselo en el campo correspondiente.
4. </t>
    </r>
    <r>
      <rPr>
        <u/>
        <sz val="10.5"/>
        <rFont val="Arial Narrow"/>
        <family val="2"/>
      </rPr>
      <t>Revisión:</t>
    </r>
    <r>
      <rPr>
        <sz val="10.5"/>
        <rFont val="Arial Narrow"/>
        <family val="2"/>
      </rPr>
      <t xml:space="preserve"> revise el estado de la ducha y el lavaojos y marque las casillas correspondientes con una X.
5.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 y cree un ticket en el portal de soluciones.
6. </t>
    </r>
    <r>
      <rPr>
        <u/>
        <sz val="10.5"/>
        <rFont val="Arial Narrow"/>
        <family val="2"/>
      </rPr>
      <t>Regresar:</t>
    </r>
    <r>
      <rPr>
        <sz val="10.5"/>
        <rFont val="Arial Narrow"/>
        <family val="2"/>
      </rPr>
      <t xml:space="preserve"> tras finalizar el registro, haga clic en el botón "Regresar" para volver a la pestaña principal de "Registro".
</t>
    </r>
    <r>
      <rPr>
        <b/>
        <sz val="10.5"/>
        <rFont val="Arial Narrow"/>
        <family val="2"/>
      </rPr>
      <t>Extintores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>Fecha de revisión:</t>
    </r>
    <r>
      <rPr>
        <sz val="10.5"/>
        <rFont val="Arial Narrow"/>
        <family val="2"/>
      </rPr>
      <t xml:space="preserve"> ingrese la fecha en la que se realizó la revisión.
2. </t>
    </r>
    <r>
      <rPr>
        <u/>
        <sz val="10.5"/>
        <rFont val="Arial Narrow"/>
        <family val="2"/>
      </rPr>
      <t>Placa:</t>
    </r>
    <r>
      <rPr>
        <sz val="10.5"/>
        <rFont val="Arial Narrow"/>
        <family val="2"/>
      </rPr>
      <t xml:space="preserve"> si en el espacio hay varios extintores, registre el campo correspondiente la placa o cualquier otro identificador asignado para distinguirlos.
3. </t>
    </r>
    <r>
      <rPr>
        <u/>
        <sz val="10.5"/>
        <rFont val="Arial Narrow"/>
        <family val="2"/>
      </rPr>
      <t>Revisión:</t>
    </r>
    <r>
      <rPr>
        <sz val="10.5"/>
        <rFont val="Arial Narrow"/>
        <family val="2"/>
      </rPr>
      <t xml:space="preserve"> revise el estado del extintor y marque las casillas correspondientes con una X.
4. </t>
    </r>
    <r>
      <rPr>
        <u/>
        <sz val="10.5"/>
        <rFont val="Arial Narrow"/>
        <family val="2"/>
      </rPr>
      <t>Fecha de vencimiento:</t>
    </r>
    <r>
      <rPr>
        <sz val="10.5"/>
        <rFont val="Arial Narrow"/>
        <family val="2"/>
      </rPr>
      <t xml:space="preserve"> ingrese la fecha de vencimiento del extintor.
5.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 y cree un ticket en el portal de soluciones para su solución. 
Nota: Notificar a la persona encargada de calidad (Laboratorios de Investigación) con un mes de anticipación la fecha de vencimiento, para poder gestionar con el área encargada el recambio del extintor.
6. </t>
    </r>
    <r>
      <rPr>
        <u/>
        <sz val="10.5"/>
        <rFont val="Arial Narrow"/>
        <family val="2"/>
      </rPr>
      <t>Regresar:</t>
    </r>
    <r>
      <rPr>
        <sz val="10.5"/>
        <rFont val="Arial Narrow"/>
        <family val="2"/>
      </rPr>
      <t xml:space="preserve"> tras finalizar el registro, haga clic en el botón "Regresar" para volver a la pestaña principal de "Registro".
</t>
    </r>
    <r>
      <rPr>
        <b/>
        <sz val="10.5"/>
        <rFont val="Arial Narrow"/>
        <family val="2"/>
      </rPr>
      <t>Botiquín</t>
    </r>
    <r>
      <rPr>
        <sz val="10.5"/>
        <rFont val="Arial Narrow"/>
        <family val="2"/>
      </rPr>
      <t xml:space="preserve">
</t>
    </r>
    <r>
      <rPr>
        <b/>
        <sz val="10.5"/>
        <rFont val="Arial Narrow"/>
        <family val="2"/>
      </rPr>
      <t xml:space="preserve">Nota: </t>
    </r>
    <r>
      <rPr>
        <sz val="10.5"/>
        <rFont val="Arial Narrow"/>
        <family val="2"/>
      </rPr>
      <t xml:space="preserve">para el botiquín, la revisión se registra en la misma tabla, actualizando los datos cada dos meses. </t>
    </r>
    <r>
      <rPr>
        <b/>
        <sz val="10.5"/>
        <rFont val="Arial Narrow"/>
        <family val="2"/>
      </rPr>
      <t>No se debe crear un nuevo registro en una tabla diferente.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>Placa o identificación:</t>
    </r>
    <r>
      <rPr>
        <sz val="10.5"/>
        <rFont val="Arial Narrow"/>
        <family val="2"/>
      </rPr>
      <t xml:space="preserve"> registre la placa o identificación del botiquín que vas a revisar.
2. </t>
    </r>
    <r>
      <rPr>
        <u/>
        <sz val="10.5"/>
        <rFont val="Arial Narrow"/>
        <family val="2"/>
      </rPr>
      <t>Fecha de revisión:</t>
    </r>
    <r>
      <rPr>
        <sz val="10.5"/>
        <rFont val="Arial Narrow"/>
        <family val="2"/>
      </rPr>
      <t xml:space="preserve"> ingrese la fecha de revisión.
3. </t>
    </r>
    <r>
      <rPr>
        <u/>
        <sz val="10.5"/>
        <rFont val="Arial Narrow"/>
        <family val="2"/>
      </rPr>
      <t>Cantidad actual:</t>
    </r>
    <r>
      <rPr>
        <sz val="10.5"/>
        <rFont val="Arial Narrow"/>
        <family val="2"/>
      </rPr>
      <t xml:space="preserve"> registre la cantidad actual de cada elemento relacionado en la tabla. Si aparece la palabra "solicitar", dirígete a la enfermería para que te hagan entrega de los suministros faltantes.
4. </t>
    </r>
    <r>
      <rPr>
        <u/>
        <sz val="10.5"/>
        <rFont val="Arial Narrow"/>
        <family val="2"/>
      </rPr>
      <t>Fecha de vencimiento:</t>
    </r>
    <r>
      <rPr>
        <sz val="10.5"/>
        <rFont val="Arial Narrow"/>
        <family val="2"/>
      </rPr>
      <t xml:space="preserve"> ingrese la fecha de vencimiento de cada elemento. Para los elementos que estén a dos meses de vencer o ya estén vencidos, realice el recambio en la enfermería.
5. </t>
    </r>
    <r>
      <rPr>
        <u/>
        <sz val="10.5"/>
        <rFont val="Arial Narrow"/>
        <family val="2"/>
      </rPr>
      <t xml:space="preserve">Revisión: </t>
    </r>
    <r>
      <rPr>
        <sz val="10.5"/>
        <rFont val="Arial Narrow"/>
        <family val="2"/>
      </rPr>
      <t xml:space="preserve">revise el estado de cada elemento y marque las casillas correspondientes con una X.
6.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"Observaciones".
7. </t>
    </r>
    <r>
      <rPr>
        <u/>
        <sz val="10.5"/>
        <rFont val="Arial Narrow"/>
        <family val="2"/>
      </rPr>
      <t xml:space="preserve">Regresar: </t>
    </r>
    <r>
      <rPr>
        <sz val="10.5"/>
        <rFont val="Arial Narrow"/>
        <family val="2"/>
      </rPr>
      <t xml:space="preserve">tras finalizar el registro, haga clic en el botón "Regresar" para volver a la pestaña principal de "Registro".
</t>
    </r>
    <r>
      <rPr>
        <b/>
        <sz val="10.5"/>
        <rFont val="Arial Narrow"/>
        <family val="2"/>
      </rPr>
      <t>Kit derrames</t>
    </r>
    <r>
      <rPr>
        <sz val="10.5"/>
        <rFont val="Arial Narrow"/>
        <family val="2"/>
      </rPr>
      <t xml:space="preserve">
Esta opción se refiere al kit de derrames utilizado para ácidos, bases y solventes.
1. </t>
    </r>
    <r>
      <rPr>
        <u/>
        <sz val="10.5"/>
        <rFont val="Arial Narrow"/>
        <family val="2"/>
      </rPr>
      <t>Fecha de revisión</t>
    </r>
    <r>
      <rPr>
        <sz val="10.5"/>
        <rFont val="Arial Narrow"/>
        <family val="2"/>
      </rPr>
      <t xml:space="preserve">: ingrese la fecha de la revisión.
2. </t>
    </r>
    <r>
      <rPr>
        <u/>
        <sz val="10.5"/>
        <rFont val="Arial Narrow"/>
        <family val="2"/>
      </rPr>
      <t>Placa o identificación</t>
    </r>
    <r>
      <rPr>
        <sz val="10.5"/>
        <rFont val="Arial Narrow"/>
        <family val="2"/>
      </rPr>
      <t xml:space="preserve">: si en el espacio hay varios kits de derrames, ingrese en el campo correspondiente la placa o cualquier otro identificador asignado para distinguirlos .
3. </t>
    </r>
    <r>
      <rPr>
        <u/>
        <sz val="10.5"/>
        <rFont val="Arial Narrow"/>
        <family val="2"/>
      </rPr>
      <t>Revisión:</t>
    </r>
    <r>
      <rPr>
        <sz val="10.5"/>
        <rFont val="Arial Narrow"/>
        <family val="2"/>
      </rPr>
      <t xml:space="preserve"> revise el estado del kit de derrames y marque las casillas correspondientes con una X.
4.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 e infórmele al responsable de los sistemas de gestión.
5. </t>
    </r>
    <r>
      <rPr>
        <u/>
        <sz val="10.5"/>
        <rFont val="Arial Narrow"/>
        <family val="2"/>
      </rPr>
      <t xml:space="preserve">Regresar: </t>
    </r>
    <r>
      <rPr>
        <sz val="10.5"/>
        <rFont val="Arial Narrow"/>
        <family val="2"/>
      </rPr>
      <t xml:space="preserve">tras finalizar el registro, haga clic en el botón "Regresar" para volver a la pestaña principal de "Registro".
</t>
    </r>
    <r>
      <rPr>
        <b/>
        <sz val="10.5"/>
        <rFont val="Arial Narrow"/>
        <family val="2"/>
      </rPr>
      <t xml:space="preserve">Kit derrames hidrocarburos
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>Fecha de revisión</t>
    </r>
    <r>
      <rPr>
        <sz val="10.5"/>
        <rFont val="Arial Narrow"/>
        <family val="2"/>
      </rPr>
      <t xml:space="preserve">: ingrese la fecha de inspección.
2. </t>
    </r>
    <r>
      <rPr>
        <u/>
        <sz val="10.5"/>
        <rFont val="Arial Narrow"/>
        <family val="2"/>
      </rPr>
      <t xml:space="preserve">Placa o identificación: </t>
    </r>
    <r>
      <rPr>
        <sz val="10.5"/>
        <rFont val="Arial Narrow"/>
        <family val="2"/>
      </rPr>
      <t xml:space="preserve">si hay varios kits de derrames en el Taller o Laboratorio, ingrese en el campo correspondiente la placa o cualquier otro identificador asignado para distinguirlos .
3. </t>
    </r>
    <r>
      <rPr>
        <u/>
        <sz val="10.5"/>
        <rFont val="Arial Narrow"/>
        <family val="2"/>
      </rPr>
      <t>Revisión:</t>
    </r>
    <r>
      <rPr>
        <sz val="10.5"/>
        <rFont val="Arial Narrow"/>
        <family val="2"/>
      </rPr>
      <t xml:space="preserve"> revise el estado del kit de derrames de hidrocarburos y marque las casillas correspondientes con una X.
4.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 e infórmele al responsable de los sistemas de gestión.
5. </t>
    </r>
    <r>
      <rPr>
        <u/>
        <sz val="10.5"/>
        <rFont val="Arial Narrow"/>
        <family val="2"/>
      </rPr>
      <t>Regresar:</t>
    </r>
    <r>
      <rPr>
        <sz val="10.5"/>
        <rFont val="Arial Narrow"/>
        <family val="2"/>
      </rPr>
      <t xml:space="preserve"> tras finalizar el registro, haga clic en el botón "Regresar" para volver a la pestaña principal de "Registro".
</t>
    </r>
    <r>
      <rPr>
        <b/>
        <sz val="10.5"/>
        <rFont val="Arial Narrow"/>
        <family val="2"/>
      </rPr>
      <t>Kit derrames mercurio</t>
    </r>
    <r>
      <rPr>
        <sz val="10.5"/>
        <rFont val="Arial Narrow"/>
        <family val="2"/>
      </rPr>
      <t xml:space="preserve">
1. </t>
    </r>
    <r>
      <rPr>
        <u/>
        <sz val="10.5"/>
        <rFont val="Arial Narrow"/>
        <family val="2"/>
      </rPr>
      <t xml:space="preserve">Fecha de revisión: </t>
    </r>
    <r>
      <rPr>
        <sz val="10.5"/>
        <rFont val="Arial Narrow"/>
        <family val="2"/>
      </rPr>
      <t xml:space="preserve">ingrese la fecha de inspección.
2. </t>
    </r>
    <r>
      <rPr>
        <u/>
        <sz val="10.5"/>
        <rFont val="Arial Narrow"/>
        <family val="2"/>
      </rPr>
      <t>Revisión:</t>
    </r>
    <r>
      <rPr>
        <sz val="10.5"/>
        <rFont val="Arial Narrow"/>
        <family val="2"/>
      </rPr>
      <t xml:space="preserve"> revise el estado del kit de derrames y marque las casillas correspondientes con una X.
3. </t>
    </r>
    <r>
      <rPr>
        <u/>
        <sz val="10.5"/>
        <rFont val="Arial Narrow"/>
        <family val="2"/>
      </rPr>
      <t>Observaciones:</t>
    </r>
    <r>
      <rPr>
        <sz val="10.5"/>
        <rFont val="Arial Narrow"/>
        <family val="2"/>
      </rPr>
      <t xml:space="preserve"> si encuentra alguna anomalía, descríbala en la celda "Observaciones" e infórmele al responsable de los sistemas de gestión.
4. </t>
    </r>
    <r>
      <rPr>
        <u/>
        <sz val="10.5"/>
        <rFont val="Arial Narrow"/>
        <family val="2"/>
      </rPr>
      <t>Regresar:</t>
    </r>
    <r>
      <rPr>
        <sz val="10.5"/>
        <rFont val="Arial Narrow"/>
        <family val="2"/>
      </rPr>
      <t xml:space="preserve"> tras finalizar el registro, haga clic en el botón "Regresar" para volver a la pestaña principal de "Registro".</t>
    </r>
  </si>
  <si>
    <t>FGL 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</si>
</sst>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\ &quot;Frasco pequeño&quot;"/>
    <numFmt numFmtId="165" formatCode="#\ &quot;motas&quot;"/>
    <numFmt numFmtId="166" formatCode="#\ &quot;unidades&quot;"/>
    <numFmt numFmtId="167" formatCode="#\ &quot;paquetes&quot;"/>
    <numFmt numFmtId="168" formatCode="#\ &quot;pares&quot;"/>
    <numFmt numFmtId="169" formatCode="#\ &quot;rollo&quot;"/>
    <numFmt numFmtId="170" formatCode="#\ &quot;unidad&quot;"/>
    <numFmt numFmtId="171" formatCode="yyyy\-mm\-dd;@"/>
    <numFmt numFmtId="174" formatCode="00"/>
    <numFmt numFmtId="175" formatCode="dd\-mm\-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6"/>
      <color theme="1"/>
      <name val="Arial Narrow"/>
      <family val="2"/>
    </font>
    <font>
      <b/>
      <sz val="11"/>
      <color theme="1"/>
      <name val="Arial Narrow"/>
      <family val="2"/>
    </font>
    <font>
      <b/>
      <sz val="10.5"/>
      <color theme="1"/>
      <name val="Arial Narrow"/>
      <family val="2"/>
    </font>
    <font>
      <b/>
      <sz val="10.5"/>
      <name val="Arial Narrow"/>
      <family val="2"/>
    </font>
    <font>
      <b/>
      <sz val="10.5"/>
      <color theme="5"/>
      <name val="Arial Narrow"/>
      <family val="2"/>
    </font>
    <font>
      <sz val="10.5"/>
      <color theme="1"/>
      <name val="Arial Narrow"/>
      <family val="2"/>
    </font>
    <font>
      <sz val="10.5"/>
      <name val="Arial Narrow"/>
      <family val="2"/>
    </font>
    <font>
      <sz val="11"/>
      <color theme="1"/>
      <name val="Arial Narrow"/>
      <family val="2"/>
    </font>
    <font>
      <sz val="10"/>
      <name val="Arial Narrow"/>
      <family val="2"/>
    </font>
    <font>
      <sz val="10"/>
      <color rgb="FF000000"/>
      <name val="Arial Narrow"/>
      <family val="2"/>
    </font>
    <font>
      <sz val="10"/>
      <color theme="1"/>
      <name val="Arial Narrow"/>
      <family val="2"/>
    </font>
    <font>
      <sz val="8"/>
      <name val="Calibri"/>
      <family val="2"/>
      <scheme val="minor"/>
    </font>
    <font>
      <b/>
      <sz val="10"/>
      <color theme="1"/>
      <name val="Arial Narrow"/>
      <family val="2"/>
    </font>
    <font>
      <b/>
      <sz val="9"/>
      <color theme="1"/>
      <name val="Arial Narrow"/>
      <family val="2"/>
    </font>
    <font>
      <b/>
      <i/>
      <u/>
      <sz val="10.5"/>
      <name val="Arial Narrow"/>
      <family val="2"/>
    </font>
    <font>
      <u/>
      <sz val="10.5"/>
      <name val="Arial Narrow"/>
      <family val="2"/>
    </font>
    <font>
      <b/>
      <u/>
      <sz val="10.5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/>
    <xf numFmtId="0" fontId="4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left" vertical="center" wrapText="1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 applyProtection="1">
      <alignment vertical="center"/>
      <protection locked="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171" fontId="7" fillId="0" borderId="0" xfId="0" applyNumberFormat="1" applyFont="1" applyAlignment="1" applyProtection="1">
      <alignment vertical="center"/>
      <protection locked="0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 wrapText="1"/>
    </xf>
    <xf numFmtId="0" fontId="9" fillId="0" borderId="0" xfId="0" applyFont="1"/>
    <xf numFmtId="171" fontId="1" fillId="0" borderId="0" xfId="0" applyNumberFormat="1" applyFont="1" applyAlignment="1">
      <alignment vertical="center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3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justify" vertical="center"/>
    </xf>
    <xf numFmtId="0" fontId="4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171" fontId="7" fillId="0" borderId="10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/>
    </xf>
    <xf numFmtId="0" fontId="8" fillId="0" borderId="2" xfId="0" applyFont="1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9" fillId="0" borderId="2" xfId="0" applyFont="1" applyBorder="1" applyAlignment="1" applyProtection="1">
      <alignment horizontal="left" vertical="center"/>
      <protection locked="0"/>
    </xf>
    <xf numFmtId="0" fontId="9" fillId="0" borderId="2" xfId="0" applyFont="1" applyBorder="1" applyAlignment="1" applyProtection="1">
      <alignment horizontal="left" vertical="center"/>
      <protection locked="0" hidden="1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justify" vertical="center"/>
      <protection locked="0"/>
    </xf>
    <xf numFmtId="0" fontId="7" fillId="0" borderId="12" xfId="0" applyFont="1" applyBorder="1" applyAlignment="1" applyProtection="1">
      <alignment horizontal="justify" vertical="center"/>
      <protection locked="0"/>
    </xf>
    <xf numFmtId="0" fontId="7" fillId="0" borderId="10" xfId="0" applyFont="1" applyBorder="1" applyAlignment="1" applyProtection="1">
      <alignment horizontal="justify" vertical="center"/>
      <protection locked="0"/>
    </xf>
    <xf numFmtId="171" fontId="7" fillId="0" borderId="3" xfId="0" applyNumberFormat="1" applyFont="1" applyBorder="1" applyAlignment="1" applyProtection="1">
      <alignment horizontal="center" vertical="center"/>
      <protection locked="0"/>
    </xf>
    <xf numFmtId="171" fontId="7" fillId="0" borderId="12" xfId="0" applyNumberFormat="1" applyFont="1" applyBorder="1" applyAlignment="1" applyProtection="1">
      <alignment horizontal="center" vertical="center"/>
      <protection locked="0"/>
    </xf>
    <xf numFmtId="171" fontId="7" fillId="0" borderId="10" xfId="0" applyNumberFormat="1" applyFont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12" xfId="0" applyFont="1" applyFill="1" applyBorder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3" xfId="0" applyFont="1" applyBorder="1" applyAlignment="1" applyProtection="1">
      <alignment horizontal="left" vertical="center"/>
      <protection locked="0"/>
    </xf>
    <xf numFmtId="0" fontId="7" fillId="0" borderId="12" xfId="0" applyFont="1" applyBorder="1" applyAlignment="1" applyProtection="1">
      <alignment horizontal="left" vertical="center"/>
      <protection locked="0"/>
    </xf>
    <xf numFmtId="0" fontId="7" fillId="0" borderId="10" xfId="0" applyFont="1" applyBorder="1" applyAlignment="1" applyProtection="1">
      <alignment horizontal="left" vertical="center"/>
      <protection locked="0"/>
    </xf>
    <xf numFmtId="0" fontId="4" fillId="3" borderId="2" xfId="0" applyFont="1" applyFill="1" applyBorder="1" applyAlignment="1">
      <alignment horizontal="left" vertical="center"/>
    </xf>
    <xf numFmtId="0" fontId="7" fillId="0" borderId="2" xfId="0" applyFont="1" applyBorder="1" applyAlignment="1" applyProtection="1">
      <alignment horizontal="left" vertical="center"/>
      <protection hidden="1"/>
    </xf>
    <xf numFmtId="0" fontId="4" fillId="0" borderId="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4" fillId="5" borderId="4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left" vertical="center"/>
    </xf>
    <xf numFmtId="0" fontId="7" fillId="0" borderId="12" xfId="0" applyFont="1" applyBorder="1" applyAlignment="1" applyProtection="1">
      <alignment horizontal="left" vertical="center"/>
      <protection hidden="1"/>
    </xf>
    <xf numFmtId="0" fontId="7" fillId="0" borderId="10" xfId="0" applyFont="1" applyBorder="1" applyAlignment="1" applyProtection="1">
      <alignment horizontal="left" vertical="center"/>
      <protection hidden="1"/>
    </xf>
    <xf numFmtId="0" fontId="1" fillId="0" borderId="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6" fontId="7" fillId="0" borderId="2" xfId="0" applyNumberFormat="1" applyFont="1" applyBorder="1" applyAlignment="1" applyProtection="1">
      <alignment horizontal="center" vertical="center"/>
      <protection locked="0"/>
    </xf>
    <xf numFmtId="164" fontId="8" fillId="0" borderId="3" xfId="0" applyNumberFormat="1" applyFont="1" applyBorder="1" applyAlignment="1">
      <alignment horizontal="center" vertical="center" wrapText="1"/>
    </xf>
    <xf numFmtId="164" fontId="8" fillId="0" borderId="10" xfId="0" applyNumberFormat="1" applyFont="1" applyBorder="1" applyAlignment="1">
      <alignment horizontal="center" vertical="center" wrapText="1"/>
    </xf>
    <xf numFmtId="170" fontId="7" fillId="0" borderId="3" xfId="0" applyNumberFormat="1" applyFont="1" applyBorder="1" applyAlignment="1" applyProtection="1">
      <alignment horizontal="center" vertical="center"/>
      <protection locked="0"/>
    </xf>
    <xf numFmtId="170" fontId="7" fillId="0" borderId="12" xfId="0" applyNumberFormat="1" applyFont="1" applyBorder="1" applyAlignment="1" applyProtection="1">
      <alignment horizontal="center" vertical="center"/>
      <protection locked="0"/>
    </xf>
    <xf numFmtId="170" fontId="7" fillId="0" borderId="10" xfId="0" applyNumberFormat="1" applyFont="1" applyBorder="1" applyAlignment="1" applyProtection="1">
      <alignment horizontal="center" vertical="center"/>
      <protection locked="0"/>
    </xf>
    <xf numFmtId="167" fontId="7" fillId="0" borderId="4" xfId="0" applyNumberFormat="1" applyFont="1" applyBorder="1" applyAlignment="1">
      <alignment horizontal="center" vertical="center"/>
    </xf>
    <xf numFmtId="167" fontId="7" fillId="0" borderId="11" xfId="0" applyNumberFormat="1" applyFont="1" applyBorder="1" applyAlignment="1">
      <alignment horizontal="center" vertical="center"/>
    </xf>
    <xf numFmtId="167" fontId="7" fillId="0" borderId="5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 applyProtection="1">
      <alignment horizontal="center" vertical="center"/>
      <protection locked="0"/>
    </xf>
    <xf numFmtId="170" fontId="7" fillId="0" borderId="3" xfId="0" applyNumberFormat="1" applyFont="1" applyBorder="1" applyAlignment="1">
      <alignment horizontal="center" vertical="center"/>
    </xf>
    <xf numFmtId="170" fontId="7" fillId="0" borderId="12" xfId="0" applyNumberFormat="1" applyFont="1" applyBorder="1" applyAlignment="1">
      <alignment horizontal="center" vertical="center"/>
    </xf>
    <xf numFmtId="170" fontId="7" fillId="0" borderId="10" xfId="0" applyNumberFormat="1" applyFont="1" applyBorder="1" applyAlignment="1">
      <alignment horizontal="center" vertical="center"/>
    </xf>
    <xf numFmtId="170" fontId="7" fillId="0" borderId="2" xfId="0" applyNumberFormat="1" applyFont="1" applyBorder="1" applyAlignment="1" applyProtection="1">
      <alignment horizontal="center" vertical="center"/>
      <protection locked="0"/>
    </xf>
    <xf numFmtId="169" fontId="7" fillId="0" borderId="2" xfId="0" applyNumberFormat="1" applyFont="1" applyBorder="1" applyAlignment="1">
      <alignment horizontal="center" vertical="center"/>
    </xf>
    <xf numFmtId="170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 applyProtection="1">
      <alignment horizontal="center" vertical="center"/>
      <protection locked="0"/>
    </xf>
    <xf numFmtId="165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/>
    </xf>
    <xf numFmtId="169" fontId="7" fillId="0" borderId="2" xfId="0" applyNumberFormat="1" applyFont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left" vertical="center"/>
    </xf>
    <xf numFmtId="0" fontId="4" fillId="5" borderId="12" xfId="0" applyFont="1" applyFill="1" applyBorder="1" applyAlignment="1">
      <alignment horizontal="left" vertical="center"/>
    </xf>
    <xf numFmtId="164" fontId="7" fillId="0" borderId="3" xfId="0" applyNumberFormat="1" applyFont="1" applyBorder="1" applyAlignment="1">
      <alignment horizontal="center" vertical="center" wrapText="1"/>
    </xf>
    <xf numFmtId="164" fontId="7" fillId="0" borderId="12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164" fontId="7" fillId="0" borderId="3" xfId="0" applyNumberFormat="1" applyFont="1" applyBorder="1" applyAlignment="1" applyProtection="1">
      <alignment horizontal="center" vertical="center" wrapText="1"/>
      <protection locked="0"/>
    </xf>
    <xf numFmtId="164" fontId="7" fillId="0" borderId="12" xfId="0" applyNumberFormat="1" applyFont="1" applyBorder="1" applyAlignment="1" applyProtection="1">
      <alignment horizontal="center" vertical="center" wrapText="1"/>
      <protection locked="0"/>
    </xf>
    <xf numFmtId="164" fontId="7" fillId="0" borderId="10" xfId="0" applyNumberFormat="1" applyFont="1" applyBorder="1" applyAlignment="1" applyProtection="1">
      <alignment horizontal="center" vertical="center" wrapText="1"/>
      <protection locked="0"/>
    </xf>
    <xf numFmtId="0" fontId="4" fillId="5" borderId="3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left" vertical="center"/>
      <protection hidden="1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171" fontId="7" fillId="0" borderId="3" xfId="0" applyNumberFormat="1" applyFont="1" applyBorder="1" applyAlignment="1" applyProtection="1">
      <alignment horizontal="center" vertical="center" wrapText="1"/>
      <protection locked="0"/>
    </xf>
    <xf numFmtId="171" fontId="7" fillId="0" borderId="12" xfId="0" applyNumberFormat="1" applyFont="1" applyBorder="1" applyAlignment="1" applyProtection="1">
      <alignment horizontal="center" vertical="center" wrapText="1"/>
      <protection locked="0"/>
    </xf>
    <xf numFmtId="171" fontId="7" fillId="0" borderId="10" xfId="0" applyNumberFormat="1" applyFont="1" applyBorder="1" applyAlignment="1" applyProtection="1">
      <alignment horizontal="center" vertical="center" wrapText="1"/>
      <protection locked="0"/>
    </xf>
    <xf numFmtId="174" fontId="3" fillId="0" borderId="2" xfId="0" applyNumberFormat="1" applyFont="1" applyBorder="1" applyAlignment="1" applyProtection="1">
      <alignment horizontal="left" vertical="center" wrapText="1"/>
      <protection locked="0"/>
    </xf>
    <xf numFmtId="175" fontId="3" fillId="0" borderId="2" xfId="0" applyNumberFormat="1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15">
    <dxf>
      <font>
        <b/>
        <i val="0"/>
        <color theme="5" tint="-0.24994659260841701"/>
      </font>
      <fill>
        <patternFill patternType="none">
          <bgColor auto="1"/>
        </patternFill>
      </fill>
    </dxf>
    <dxf>
      <font>
        <b/>
        <i val="0"/>
        <color rgb="FFC00000"/>
      </font>
    </dxf>
    <dxf>
      <font>
        <b/>
        <i val="0"/>
        <color rgb="FF92D050"/>
      </font>
    </dxf>
    <dxf>
      <font>
        <b/>
        <i val="0"/>
        <color theme="5" tint="-0.24994659260841701"/>
      </font>
      <fill>
        <patternFill patternType="none">
          <bgColor auto="1"/>
        </patternFill>
      </fill>
    </dxf>
    <dxf>
      <font>
        <b/>
        <i val="0"/>
        <color rgb="FFC00000"/>
      </font>
    </dxf>
    <dxf>
      <font>
        <b/>
        <i val="0"/>
        <color rgb="FF92D050"/>
      </font>
    </dxf>
    <dxf>
      <font>
        <b/>
        <i val="0"/>
        <color theme="5" tint="-0.24994659260841701"/>
      </font>
      <fill>
        <patternFill patternType="none">
          <bgColor auto="1"/>
        </patternFill>
      </fill>
    </dxf>
    <dxf>
      <font>
        <b/>
        <i val="0"/>
        <color rgb="FFC00000"/>
      </font>
    </dxf>
    <dxf>
      <font>
        <b/>
        <i val="0"/>
        <color rgb="FF92D050"/>
      </font>
    </dxf>
    <dxf>
      <font>
        <color rgb="FFFF0000"/>
      </font>
    </dxf>
    <dxf>
      <font>
        <color theme="9"/>
      </font>
    </dxf>
    <dxf>
      <font>
        <color rgb="FF00B050"/>
      </font>
    </dxf>
    <dxf>
      <font>
        <color rgb="FFFF0000"/>
      </font>
    </dxf>
    <dxf>
      <font>
        <color theme="9"/>
      </font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133746</xdr:colOff>
      <xdr:row>0</xdr:row>
      <xdr:rowOff>48816</xdr:rowOff>
    </xdr:from>
    <xdr:to>
      <xdr:col>4</xdr:col>
      <xdr:colOff>64221</xdr:colOff>
      <xdr:row>2</xdr:row>
      <xdr:rowOff>203616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A01D488-D465-4305-94D0-7FBCCA86F6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248046" y="48816"/>
          <a:ext cx="949650" cy="61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181769</xdr:colOff>
      <xdr:row>0</xdr:row>
      <xdr:rowOff>39687</xdr:rowOff>
    </xdr:from>
    <xdr:to>
      <xdr:col>4</xdr:col>
      <xdr:colOff>65910</xdr:colOff>
      <xdr:row>2</xdr:row>
      <xdr:rowOff>195281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17B910-CE10-4636-A17B-6DF80AEDCC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181769" y="39687"/>
          <a:ext cx="876329" cy="612000"/>
        </a:xfrm>
        <a:prstGeom prst="rect">
          <a:avLst/>
        </a:prstGeom>
      </xdr:spPr>
    </xdr:pic>
    <xdr:clientData/>
  </xdr:twoCellAnchor>
  <xdr:twoCellAnchor>
    <xdr:from>
      <xdr:col>10</xdr:col>
      <xdr:colOff>142080</xdr:colOff>
      <xdr:row>8</xdr:row>
      <xdr:rowOff>79375</xdr:rowOff>
    </xdr:from>
    <xdr:to>
      <xdr:col>18</xdr:col>
      <xdr:colOff>109140</xdr:colOff>
      <xdr:row>11</xdr:row>
      <xdr:rowOff>9923</xdr:rowOff>
    </xdr:to>
    <xdr:sp macro="[0]!AbrirPestaña" textlink="">
      <xdr:nvSpPr>
        <xdr:cNvPr id="3" name="Rectángulo 2">
          <a:extLst>
            <a:ext uri="{FF2B5EF4-FFF2-40B4-BE49-F238E27FC236}">
              <a16:creationId xmlns:a16="http://schemas.microsoft.com/office/drawing/2014/main" id="{F55E001D-A2D2-E6F7-AB05-C1998362FED6}"/>
            </a:ext>
          </a:extLst>
        </xdr:cNvPr>
        <xdr:cNvSpPr/>
      </xdr:nvSpPr>
      <xdr:spPr>
        <a:xfrm>
          <a:off x="2185986" y="1656953"/>
          <a:ext cx="1951435" cy="55562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ross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latin typeface="Arial Narrow" panose="020B0606020202030204" pitchFamily="34" charset="0"/>
            </a:rPr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47625</xdr:rowOff>
    </xdr:from>
    <xdr:to>
      <xdr:col>3</xdr:col>
      <xdr:colOff>433462</xdr:colOff>
      <xdr:row>2</xdr:row>
      <xdr:rowOff>202425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E369473-5DE1-4723-A051-9A3A4B1184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276224" y="47625"/>
          <a:ext cx="900188" cy="612000"/>
        </a:xfrm>
        <a:prstGeom prst="rect">
          <a:avLst/>
        </a:prstGeom>
      </xdr:spPr>
    </xdr:pic>
    <xdr:clientData/>
  </xdr:twoCellAnchor>
  <xdr:twoCellAnchor>
    <xdr:from>
      <xdr:col>28</xdr:col>
      <xdr:colOff>342899</xdr:colOff>
      <xdr:row>0</xdr:row>
      <xdr:rowOff>133349</xdr:rowOff>
    </xdr:from>
    <xdr:to>
      <xdr:col>31</xdr:col>
      <xdr:colOff>123824</xdr:colOff>
      <xdr:row>3</xdr:row>
      <xdr:rowOff>47625</xdr:rowOff>
    </xdr:to>
    <xdr:sp macro="[0]!OcultarPestañaActual1" textlink="">
      <xdr:nvSpPr>
        <xdr:cNvPr id="3" name="Rectángulo 2">
          <a:extLst>
            <a:ext uri="{FF2B5EF4-FFF2-40B4-BE49-F238E27FC236}">
              <a16:creationId xmlns:a16="http://schemas.microsoft.com/office/drawing/2014/main" id="{B5B6B91B-16E6-217A-2BBD-2A28B3417688}"/>
            </a:ext>
          </a:extLst>
        </xdr:cNvPr>
        <xdr:cNvSpPr/>
      </xdr:nvSpPr>
      <xdr:spPr>
        <a:xfrm>
          <a:off x="9810749" y="133349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95249</xdr:colOff>
      <xdr:row>0</xdr:row>
      <xdr:rowOff>47625</xdr:rowOff>
    </xdr:from>
    <xdr:to>
      <xdr:col>3</xdr:col>
      <xdr:colOff>500137</xdr:colOff>
      <xdr:row>2</xdr:row>
      <xdr:rowOff>202425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91F2AA7-AF93-4319-B8F5-7F51C539FC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342899" y="47625"/>
          <a:ext cx="900188" cy="612000"/>
        </a:xfrm>
        <a:prstGeom prst="rect">
          <a:avLst/>
        </a:prstGeom>
      </xdr:spPr>
    </xdr:pic>
    <xdr:clientData/>
  </xdr:twoCellAnchor>
  <xdr:twoCellAnchor>
    <xdr:from>
      <xdr:col>35</xdr:col>
      <xdr:colOff>276225</xdr:colOff>
      <xdr:row>0</xdr:row>
      <xdr:rowOff>104775</xdr:rowOff>
    </xdr:from>
    <xdr:to>
      <xdr:col>36</xdr:col>
      <xdr:colOff>552450</xdr:colOff>
      <xdr:row>3</xdr:row>
      <xdr:rowOff>19051</xdr:rowOff>
    </xdr:to>
    <xdr:sp macro="[0]!OcultarPestañaActual1" textlink="">
      <xdr:nvSpPr>
        <xdr:cNvPr id="3" name="Rectángulo 2">
          <a:extLst>
            <a:ext uri="{FF2B5EF4-FFF2-40B4-BE49-F238E27FC236}">
              <a16:creationId xmlns:a16="http://schemas.microsoft.com/office/drawing/2014/main" id="{16A32729-35A8-4450-A5CE-20EBAF79AAAB}"/>
            </a:ext>
          </a:extLst>
        </xdr:cNvPr>
        <xdr:cNvSpPr/>
      </xdr:nvSpPr>
      <xdr:spPr>
        <a:xfrm>
          <a:off x="10115550" y="104775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142874</xdr:colOff>
      <xdr:row>0</xdr:row>
      <xdr:rowOff>47626</xdr:rowOff>
    </xdr:from>
    <xdr:to>
      <xdr:col>3</xdr:col>
      <xdr:colOff>300112</xdr:colOff>
      <xdr:row>2</xdr:row>
      <xdr:rowOff>202426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FC24D11-37FB-4AB6-A53A-2E6D8C1A5D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142874" y="47626"/>
          <a:ext cx="900188" cy="612000"/>
        </a:xfrm>
        <a:prstGeom prst="rect">
          <a:avLst/>
        </a:prstGeom>
      </xdr:spPr>
    </xdr:pic>
    <xdr:clientData/>
  </xdr:twoCellAnchor>
  <xdr:twoCellAnchor>
    <xdr:from>
      <xdr:col>25</xdr:col>
      <xdr:colOff>314325</xdr:colOff>
      <xdr:row>0</xdr:row>
      <xdr:rowOff>104775</xdr:rowOff>
    </xdr:from>
    <xdr:to>
      <xdr:col>26</xdr:col>
      <xdr:colOff>590550</xdr:colOff>
      <xdr:row>3</xdr:row>
      <xdr:rowOff>19051</xdr:rowOff>
    </xdr:to>
    <xdr:sp macro="[0]!OcultarPestañaActual1" textlink="">
      <xdr:nvSpPr>
        <xdr:cNvPr id="2" name="Rectángulo 1">
          <a:extLst>
            <a:ext uri="{FF2B5EF4-FFF2-40B4-BE49-F238E27FC236}">
              <a16:creationId xmlns:a16="http://schemas.microsoft.com/office/drawing/2014/main" id="{8DD63594-F42A-41F4-BA60-B27CA2442252}"/>
            </a:ext>
          </a:extLst>
        </xdr:cNvPr>
        <xdr:cNvSpPr/>
      </xdr:nvSpPr>
      <xdr:spPr>
        <a:xfrm>
          <a:off x="10448925" y="104775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142874</xdr:colOff>
      <xdr:row>0</xdr:row>
      <xdr:rowOff>47625</xdr:rowOff>
    </xdr:from>
    <xdr:to>
      <xdr:col>3</xdr:col>
      <xdr:colOff>176287</xdr:colOff>
      <xdr:row>2</xdr:row>
      <xdr:rowOff>202425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2C46825-6886-4258-ABB7-1806D8FCBF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142874" y="47625"/>
          <a:ext cx="900188" cy="612000"/>
        </a:xfrm>
        <a:prstGeom prst="rect">
          <a:avLst/>
        </a:prstGeom>
      </xdr:spPr>
    </xdr:pic>
    <xdr:clientData/>
  </xdr:twoCellAnchor>
  <xdr:twoCellAnchor>
    <xdr:from>
      <xdr:col>30</xdr:col>
      <xdr:colOff>276225</xdr:colOff>
      <xdr:row>0</xdr:row>
      <xdr:rowOff>114300</xdr:rowOff>
    </xdr:from>
    <xdr:to>
      <xdr:col>34</xdr:col>
      <xdr:colOff>171450</xdr:colOff>
      <xdr:row>3</xdr:row>
      <xdr:rowOff>28576</xdr:rowOff>
    </xdr:to>
    <xdr:sp macro="[0]!OcultarPestañaActual1" textlink="">
      <xdr:nvSpPr>
        <xdr:cNvPr id="2" name="Rectángulo 1">
          <a:extLst>
            <a:ext uri="{FF2B5EF4-FFF2-40B4-BE49-F238E27FC236}">
              <a16:creationId xmlns:a16="http://schemas.microsoft.com/office/drawing/2014/main" id="{5F92A778-BBD2-4082-9156-A743FF560DC1}"/>
            </a:ext>
          </a:extLst>
        </xdr:cNvPr>
        <xdr:cNvSpPr/>
      </xdr:nvSpPr>
      <xdr:spPr>
        <a:xfrm>
          <a:off x="8715375" y="114300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190499</xdr:colOff>
      <xdr:row>0</xdr:row>
      <xdr:rowOff>47625</xdr:rowOff>
    </xdr:from>
    <xdr:to>
      <xdr:col>4</xdr:col>
      <xdr:colOff>61987</xdr:colOff>
      <xdr:row>2</xdr:row>
      <xdr:rowOff>202425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201C88D-C0D8-4031-9261-114E9573D4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190499" y="47625"/>
          <a:ext cx="900188" cy="612000"/>
        </a:xfrm>
        <a:prstGeom prst="rect">
          <a:avLst/>
        </a:prstGeom>
      </xdr:spPr>
    </xdr:pic>
    <xdr:clientData/>
  </xdr:twoCellAnchor>
  <xdr:twoCellAnchor>
    <xdr:from>
      <xdr:col>31</xdr:col>
      <xdr:colOff>238125</xdr:colOff>
      <xdr:row>0</xdr:row>
      <xdr:rowOff>85725</xdr:rowOff>
    </xdr:from>
    <xdr:to>
      <xdr:col>35</xdr:col>
      <xdr:colOff>133350</xdr:colOff>
      <xdr:row>3</xdr:row>
      <xdr:rowOff>1</xdr:rowOff>
    </xdr:to>
    <xdr:sp macro="[0]!OcultarPestañaActual1" textlink="">
      <xdr:nvSpPr>
        <xdr:cNvPr id="3" name="Rectángulo 2">
          <a:extLst>
            <a:ext uri="{FF2B5EF4-FFF2-40B4-BE49-F238E27FC236}">
              <a16:creationId xmlns:a16="http://schemas.microsoft.com/office/drawing/2014/main" id="{635DBABB-96E8-4AC9-B90E-2DF1DEE7037D}"/>
            </a:ext>
          </a:extLst>
        </xdr:cNvPr>
        <xdr:cNvSpPr/>
      </xdr:nvSpPr>
      <xdr:spPr>
        <a:xfrm>
          <a:off x="9296400" y="85725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38100</xdr:rowOff>
    </xdr:from>
    <xdr:to>
      <xdr:col>3</xdr:col>
      <xdr:colOff>252487</xdr:colOff>
      <xdr:row>2</xdr:row>
      <xdr:rowOff>192900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BAD43F-DDB9-4B0B-B350-8AF1F58829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1815" t="14216" r="36064" b="10464"/>
        <a:stretch/>
      </xdr:blipFill>
      <xdr:spPr>
        <a:xfrm>
          <a:off x="85724" y="38100"/>
          <a:ext cx="900188" cy="612000"/>
        </a:xfrm>
        <a:prstGeom prst="rect">
          <a:avLst/>
        </a:prstGeom>
      </xdr:spPr>
    </xdr:pic>
    <xdr:clientData/>
  </xdr:twoCellAnchor>
  <xdr:twoCellAnchor>
    <xdr:from>
      <xdr:col>27</xdr:col>
      <xdr:colOff>238125</xdr:colOff>
      <xdr:row>0</xdr:row>
      <xdr:rowOff>85725</xdr:rowOff>
    </xdr:from>
    <xdr:to>
      <xdr:col>31</xdr:col>
      <xdr:colOff>133350</xdr:colOff>
      <xdr:row>3</xdr:row>
      <xdr:rowOff>1</xdr:rowOff>
    </xdr:to>
    <xdr:sp macro="[0]!OcultarPestañaActual1" textlink="">
      <xdr:nvSpPr>
        <xdr:cNvPr id="3" name="Rectángulo 2">
          <a:extLst>
            <a:ext uri="{FF2B5EF4-FFF2-40B4-BE49-F238E27FC236}">
              <a16:creationId xmlns:a16="http://schemas.microsoft.com/office/drawing/2014/main" id="{A270003A-4B64-4472-91E8-A6DF9E159915}"/>
            </a:ext>
          </a:extLst>
        </xdr:cNvPr>
        <xdr:cNvSpPr/>
      </xdr:nvSpPr>
      <xdr:spPr>
        <a:xfrm>
          <a:off x="9296400" y="85725"/>
          <a:ext cx="1038225" cy="54292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>
          <a:solidFill>
            <a:schemeClr val="accent1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REGRESAR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3" Type="http://schemas.openxmlformats.org/officeDocument/2006/relationships/image" Target="../media/logoitm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3" Type="http://schemas.openxmlformats.org/officeDocument/2006/relationships/image" Target="../media/logoitm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3" Type="http://schemas.openxmlformats.org/officeDocument/2006/relationships/image" Target="../media/logoitm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3" Type="http://schemas.openxmlformats.org/officeDocument/2006/relationships/image" Target="../media/logoitm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3" Type="http://schemas.openxmlformats.org/officeDocument/2006/relationships/image" Target="../media/logoitm.png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3" Type="http://schemas.openxmlformats.org/officeDocument/2006/relationships/image" Target="../media/logoitm.png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3" Type="http://schemas.openxmlformats.org/officeDocument/2006/relationships/image" Target="../media/logoitm.pn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3" Type="http://schemas.openxmlformats.org/officeDocument/2006/relationships/image" Target="../media/logoitm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CC4F-A2C5-4A1F-81AF-F819B5D5D6C3}">
  <dimension ref="A1:AB75"/>
  <sheetViews>
    <sheetView tabSelected="1" view="pageBreakPreview" zoomScaleNormal="100" zoomScaleSheetLayoutView="100" workbookViewId="0">
      <selection activeCell="AF12" sqref="AF12"/>
    </sheetView>
  </sheetViews>
  <sheetFormatPr baseColWidth="10" defaultRowHeight="15" x14ac:dyDescent="0.25"/>
  <cols>
    <col min="1" max="1" width="1.7109375" customWidth="1"/>
    <col min="2" max="2" width="5.42578125" customWidth="1"/>
    <col min="3" max="3" width="5.140625" customWidth="1"/>
    <col min="4" max="5" width="4.7109375" customWidth="1"/>
    <col min="6" max="21" width="2.7109375" customWidth="1"/>
    <col min="22" max="22" width="3.28515625" customWidth="1"/>
    <col min="23" max="23" width="3.7109375" customWidth="1"/>
    <col min="24" max="24" width="4.140625" customWidth="1"/>
    <col min="25" max="25" width="5.140625" customWidth="1"/>
    <col min="26" max="26" width="6.5703125" customWidth="1"/>
    <col min="27" max="27" width="5.42578125" customWidth="1"/>
    <col min="28" max="28" width="1.7109375" customWidth="1"/>
  </cols>
  <sheetPr>
    <picture r:id="rId3"/>
  </sheetPr>
  <sheetData>
    <row r="1" spans="1:28" ht="18" customHeight="1" x14ac:dyDescent="0.25">
      <c r="A1" s="48"/>
      <c r="B1" s="48"/>
      <c r="C1" s="48"/>
      <c r="D1" s="48"/>
      <c r="E1" s="48"/>
      <c r="F1" s="49" t="s">
        <v>33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50" t="s">
        <v>3</v>
      </c>
      <c r="Y1" s="50"/>
      <c r="Z1" s="50" t="s">
        <v>258</v>
      </c>
      <c r="AA1" s="50"/>
      <c r="AB1" s="50"/>
    </row>
    <row r="2" spans="1:28" ht="18" customHeight="1" x14ac:dyDescent="0.25">
      <c r="A2" s="48"/>
      <c r="B2" s="48"/>
      <c r="C2" s="48"/>
      <c r="D2" s="48"/>
      <c r="E2" s="48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50" t="s">
        <v>1</v>
      </c>
      <c r="Y2" s="50"/>
      <c r="Z2" s="207">
        <v>5</v>
      </c>
      <c r="AA2" s="207"/>
      <c r="AB2" s="207"/>
    </row>
    <row r="3" spans="1:28" ht="18" customHeight="1" x14ac:dyDescent="0.25">
      <c r="A3" s="48"/>
      <c r="B3" s="48"/>
      <c r="C3" s="48"/>
      <c r="D3" s="48"/>
      <c r="E3" s="48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50" t="s">
        <v>2</v>
      </c>
      <c r="Y3" s="50"/>
      <c r="Z3" s="208">
        <v>45434</v>
      </c>
      <c r="AA3" s="208"/>
      <c r="AB3" s="208"/>
    </row>
    <row r="4" spans="1:28" ht="6" customHeight="1" x14ac:dyDescent="0.25">
      <c r="A4" s="45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7"/>
    </row>
    <row r="5" spans="1:28" ht="15" customHeight="1" x14ac:dyDescent="0.25">
      <c r="A5" s="40"/>
      <c r="B5" s="41" t="s">
        <v>257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0"/>
    </row>
    <row r="6" spans="1:28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0"/>
    </row>
    <row r="7" spans="1:28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0"/>
    </row>
    <row r="8" spans="1:28" x14ac:dyDescent="0.25">
      <c r="A8" s="40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0"/>
    </row>
    <row r="9" spans="1:28" x14ac:dyDescent="0.25">
      <c r="A9" s="40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0"/>
    </row>
    <row r="10" spans="1:28" x14ac:dyDescent="0.25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0"/>
    </row>
    <row r="11" spans="1:28" x14ac:dyDescent="0.2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0"/>
    </row>
    <row r="12" spans="1:28" x14ac:dyDescent="0.2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0"/>
    </row>
    <row r="13" spans="1:28" x14ac:dyDescent="0.25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0"/>
    </row>
    <row r="14" spans="1:28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0"/>
    </row>
    <row r="15" spans="1:28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0"/>
    </row>
    <row r="16" spans="1:28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0"/>
    </row>
    <row r="17" spans="1:28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0"/>
    </row>
    <row r="18" spans="1:28" x14ac:dyDescent="0.25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0"/>
    </row>
    <row r="19" spans="1:28" x14ac:dyDescent="0.25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0"/>
    </row>
    <row r="20" spans="1:28" x14ac:dyDescent="0.25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0"/>
    </row>
    <row r="21" spans="1:28" x14ac:dyDescent="0.25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0"/>
    </row>
    <row r="22" spans="1:28" x14ac:dyDescent="0.25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0"/>
    </row>
    <row r="23" spans="1:28" x14ac:dyDescent="0.25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0"/>
    </row>
    <row r="24" spans="1:28" x14ac:dyDescent="0.2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0"/>
    </row>
    <row r="25" spans="1:28" x14ac:dyDescent="0.2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0"/>
    </row>
    <row r="26" spans="1:28" x14ac:dyDescent="0.25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0"/>
    </row>
    <row r="27" spans="1:28" x14ac:dyDescent="0.25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0"/>
    </row>
    <row r="28" spans="1:28" x14ac:dyDescent="0.25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0"/>
    </row>
    <row r="29" spans="1:28" x14ac:dyDescent="0.25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0"/>
    </row>
    <row r="30" spans="1:28" x14ac:dyDescent="0.25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0"/>
    </row>
    <row r="31" spans="1:28" x14ac:dyDescent="0.25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0"/>
    </row>
    <row r="32" spans="1:28" x14ac:dyDescent="0.25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0"/>
    </row>
    <row r="33" spans="1:28" x14ac:dyDescent="0.25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0"/>
    </row>
    <row r="34" spans="1:28" x14ac:dyDescent="0.25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0"/>
    </row>
    <row r="35" spans="1:28" x14ac:dyDescent="0.2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0"/>
    </row>
    <row r="36" spans="1:28" x14ac:dyDescent="0.2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0"/>
    </row>
    <row r="37" spans="1:28" x14ac:dyDescent="0.2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0"/>
    </row>
    <row r="38" spans="1:28" x14ac:dyDescent="0.2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0"/>
    </row>
    <row r="39" spans="1:28" x14ac:dyDescent="0.2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0"/>
    </row>
    <row r="40" spans="1:28" x14ac:dyDescent="0.2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0"/>
    </row>
    <row r="41" spans="1:28" x14ac:dyDescent="0.2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0"/>
    </row>
    <row r="42" spans="1:28" x14ac:dyDescent="0.2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0"/>
    </row>
    <row r="43" spans="1:28" x14ac:dyDescent="0.2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0"/>
    </row>
    <row r="44" spans="1:28" x14ac:dyDescent="0.2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0"/>
    </row>
    <row r="45" spans="1:28" x14ac:dyDescent="0.2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0"/>
    </row>
    <row r="46" spans="1:28" x14ac:dyDescent="0.2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0"/>
    </row>
    <row r="47" spans="1:28" x14ac:dyDescent="0.2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0"/>
    </row>
    <row r="48" spans="1:28" x14ac:dyDescent="0.2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0"/>
    </row>
    <row r="49" spans="1:28" x14ac:dyDescent="0.2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0"/>
    </row>
    <row r="50" spans="1:28" x14ac:dyDescent="0.25">
      <c r="A50" s="40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0"/>
    </row>
    <row r="51" spans="1:28" x14ac:dyDescent="0.25">
      <c r="A51" s="40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0"/>
    </row>
    <row r="52" spans="1:28" x14ac:dyDescent="0.25">
      <c r="A52" s="40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0"/>
    </row>
    <row r="53" spans="1:28" x14ac:dyDescent="0.25">
      <c r="A53" s="40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0"/>
    </row>
    <row r="54" spans="1:28" x14ac:dyDescent="0.25">
      <c r="A54" s="40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0"/>
    </row>
    <row r="55" spans="1:28" x14ac:dyDescent="0.25">
      <c r="A55" s="40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0"/>
    </row>
    <row r="56" spans="1:28" x14ac:dyDescent="0.25">
      <c r="A56" s="40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0"/>
    </row>
    <row r="57" spans="1:28" x14ac:dyDescent="0.25">
      <c r="A57" s="40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0"/>
    </row>
    <row r="58" spans="1:28" x14ac:dyDescent="0.25">
      <c r="A58" s="40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0"/>
    </row>
    <row r="59" spans="1:28" x14ac:dyDescent="0.25">
      <c r="A59" s="40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0"/>
    </row>
    <row r="60" spans="1:28" x14ac:dyDescent="0.25">
      <c r="A60" s="40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0"/>
    </row>
    <row r="61" spans="1:28" x14ac:dyDescent="0.25">
      <c r="A61" s="40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0"/>
    </row>
    <row r="62" spans="1:28" x14ac:dyDescent="0.25">
      <c r="A62" s="40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0"/>
    </row>
    <row r="63" spans="1:28" x14ac:dyDescent="0.25">
      <c r="A63" s="40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0"/>
    </row>
    <row r="64" spans="1:28" x14ac:dyDescent="0.25">
      <c r="A64" s="40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0"/>
    </row>
    <row r="65" spans="1:28" ht="37.9" customHeight="1" x14ac:dyDescent="0.25">
      <c r="A65" s="40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0"/>
    </row>
    <row r="66" spans="1:28" ht="28.9" customHeight="1" x14ac:dyDescent="0.25">
      <c r="A66" s="40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0"/>
    </row>
    <row r="67" spans="1:28" ht="28.9" customHeight="1" x14ac:dyDescent="0.25">
      <c r="A67" s="40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0"/>
    </row>
    <row r="68" spans="1:28" ht="48" customHeight="1" x14ac:dyDescent="0.25">
      <c r="A68" s="40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0"/>
    </row>
    <row r="69" spans="1:28" ht="24.6" customHeight="1" x14ac:dyDescent="0.25">
      <c r="A69" s="40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0"/>
    </row>
    <row r="70" spans="1:28" ht="51.6" customHeight="1" x14ac:dyDescent="0.25">
      <c r="A70" s="40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0"/>
    </row>
    <row r="71" spans="1:28" ht="31.15" customHeight="1" x14ac:dyDescent="0.25">
      <c r="A71" s="40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0"/>
    </row>
    <row r="72" spans="1:28" ht="24" customHeight="1" x14ac:dyDescent="0.25">
      <c r="A72" s="40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0"/>
    </row>
    <row r="73" spans="1:28" ht="31.5" customHeight="1" x14ac:dyDescent="0.25">
      <c r="A73" s="40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0"/>
    </row>
    <row r="74" spans="1:28" ht="2.25" customHeight="1" x14ac:dyDescent="0.25">
      <c r="A74" s="40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0"/>
    </row>
    <row r="75" spans="1:28" ht="6.75" customHeight="1" x14ac:dyDescent="0.25">
      <c r="A75" s="42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/>
    </row>
  </sheetData>
  <mergeCells count="13">
    <mergeCell ref="A1:E3"/>
    <mergeCell ref="F1:W3"/>
    <mergeCell ref="X1:Y1"/>
    <mergeCell ref="Z1:AB1"/>
    <mergeCell ref="X2:Y2"/>
    <mergeCell ref="Z2:AB2"/>
    <mergeCell ref="X3:Y3"/>
    <mergeCell ref="Z3:AB3"/>
    <mergeCell ref="A5:A74"/>
    <mergeCell ref="B5:AA74"/>
    <mergeCell ref="AB5:AB74"/>
    <mergeCell ref="A75:AB75"/>
    <mergeCell ref="A4:AB4"/>
  </mergeCells>
  <pageMargins left="0.7" right="0.7" top="0.75" bottom="0.75" header="0.3" footer="0.3"/>
  <pageSetup scale="5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C1176-E68D-4D3F-898F-18CBB683630A}">
  <sheetPr codeName="Hoja5">
    <picture r:id="rId3"/>
  </sheetPr>
  <dimension ref="A1:AK89"/>
  <sheetViews>
    <sheetView view="pageBreakPreview" zoomScale="96" zoomScaleNormal="100" zoomScaleSheetLayoutView="96" workbookViewId="0">
      <selection activeCell="H21" sqref="H21"/>
    </sheetView>
  </sheetViews>
  <sheetFormatPr baseColWidth="10" defaultRowHeight="15" x14ac:dyDescent="0.25"/>
  <cols>
    <col min="1" max="5" width="3.7109375" customWidth="1"/>
    <col min="6" max="6" width="2.7109375" customWidth="1"/>
    <col min="7" max="7" width="2.42578125" customWidth="1"/>
    <col min="8" max="8" width="2.7109375" customWidth="1"/>
    <col min="9" max="9" width="2.5703125" customWidth="1"/>
    <col min="10" max="10" width="1.85546875" customWidth="1"/>
    <col min="11" max="23" width="3.7109375" customWidth="1"/>
    <col min="24" max="27" width="5.7109375" customWidth="1"/>
    <col min="29" max="34" width="0" hidden="1" customWidth="1"/>
    <col min="35" max="35" width="22.7109375" hidden="1" customWidth="1"/>
    <col min="36" max="36" width="46.85546875" hidden="1" customWidth="1"/>
    <col min="37" max="37" width="19.140625" hidden="1" customWidth="1"/>
    <col min="38" max="40" width="0" hidden="1" customWidth="1"/>
  </cols>
  <sheetData>
    <row r="1" spans="1:37" ht="18" customHeight="1" x14ac:dyDescent="0.3">
      <c r="A1" s="48"/>
      <c r="B1" s="48"/>
      <c r="C1" s="48"/>
      <c r="D1" s="48"/>
      <c r="E1" s="48"/>
      <c r="F1" s="49" t="s">
        <v>33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50" t="s">
        <v>3</v>
      </c>
      <c r="Y1" s="50"/>
      <c r="Z1" s="50" t="s">
        <v>258</v>
      </c>
      <c r="AA1" s="50"/>
      <c r="AI1" s="25" t="s">
        <v>226</v>
      </c>
      <c r="AJ1" s="17" t="s">
        <v>57</v>
      </c>
      <c r="AK1" s="18" t="s">
        <v>58</v>
      </c>
    </row>
    <row r="2" spans="1:37" ht="18" customHeight="1" x14ac:dyDescent="0.3">
      <c r="A2" s="48"/>
      <c r="B2" s="48"/>
      <c r="C2" s="48"/>
      <c r="D2" s="48"/>
      <c r="E2" s="48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50" t="s">
        <v>1</v>
      </c>
      <c r="Y2" s="50"/>
      <c r="Z2" s="207">
        <v>5</v>
      </c>
      <c r="AA2" s="207"/>
      <c r="AI2" s="25" t="s">
        <v>30</v>
      </c>
      <c r="AJ2" s="19" t="s">
        <v>59</v>
      </c>
      <c r="AK2" s="20" t="s">
        <v>60</v>
      </c>
    </row>
    <row r="3" spans="1:37" ht="18" customHeight="1" x14ac:dyDescent="0.3">
      <c r="A3" s="48"/>
      <c r="B3" s="48"/>
      <c r="C3" s="48"/>
      <c r="D3" s="48"/>
      <c r="E3" s="48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50" t="s">
        <v>2</v>
      </c>
      <c r="Y3" s="50"/>
      <c r="Z3" s="208">
        <v>45434</v>
      </c>
      <c r="AA3" s="208"/>
      <c r="AI3" s="25" t="s">
        <v>31</v>
      </c>
      <c r="AJ3" s="21" t="s">
        <v>61</v>
      </c>
      <c r="AK3" s="22" t="s">
        <v>62</v>
      </c>
    </row>
    <row r="4" spans="1:37" ht="16.5" x14ac:dyDescent="0.3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I4" s="25" t="s">
        <v>234</v>
      </c>
      <c r="AJ4" s="19" t="s">
        <v>63</v>
      </c>
      <c r="AK4" s="20" t="s">
        <v>64</v>
      </c>
    </row>
    <row r="5" spans="1:37" ht="20.100000000000001" customHeight="1" x14ac:dyDescent="0.3">
      <c r="A5" s="53" t="s">
        <v>55</v>
      </c>
      <c r="B5" s="54"/>
      <c r="C5" s="54"/>
      <c r="D5" s="54"/>
      <c r="E5" s="54"/>
      <c r="F5" s="54"/>
      <c r="G5" s="54"/>
      <c r="H5" s="54"/>
      <c r="I5" s="54"/>
      <c r="J5" s="55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I5" s="25" t="s">
        <v>243</v>
      </c>
      <c r="AJ5" s="19" t="s">
        <v>65</v>
      </c>
      <c r="AK5" s="20" t="s">
        <v>66</v>
      </c>
    </row>
    <row r="6" spans="1:37" ht="20.100000000000001" customHeight="1" x14ac:dyDescent="0.3">
      <c r="A6" s="53" t="s">
        <v>56</v>
      </c>
      <c r="B6" s="54"/>
      <c r="C6" s="54"/>
      <c r="D6" s="54"/>
      <c r="E6" s="54"/>
      <c r="F6" s="54"/>
      <c r="G6" s="54"/>
      <c r="H6" s="54"/>
      <c r="I6" s="54"/>
      <c r="J6" s="55"/>
      <c r="K6" s="57" t="str">
        <f>+IF(K5="","",VLOOKUP(K5,AJ1:AK89,2,))</f>
        <v/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I6" s="25" t="s">
        <v>255</v>
      </c>
      <c r="AJ6" s="19" t="s">
        <v>67</v>
      </c>
      <c r="AK6" s="20" t="s">
        <v>68</v>
      </c>
    </row>
    <row r="7" spans="1:37" ht="20.100000000000001" customHeight="1" x14ac:dyDescent="0.3">
      <c r="A7" s="53" t="s">
        <v>28</v>
      </c>
      <c r="B7" s="54"/>
      <c r="C7" s="54"/>
      <c r="D7" s="54"/>
      <c r="E7" s="54"/>
      <c r="F7" s="54"/>
      <c r="G7" s="54"/>
      <c r="H7" s="54"/>
      <c r="I7" s="54"/>
      <c r="J7" s="55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I7" s="25"/>
      <c r="AJ7" s="19" t="s">
        <v>69</v>
      </c>
      <c r="AK7" s="20" t="s">
        <v>70</v>
      </c>
    </row>
    <row r="8" spans="1:37" ht="9.75" customHeight="1" x14ac:dyDescent="0.3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I8" s="25"/>
      <c r="AJ8" s="19" t="s">
        <v>71</v>
      </c>
      <c r="AK8" s="20" t="s">
        <v>72</v>
      </c>
    </row>
    <row r="9" spans="1:37" ht="16.5" x14ac:dyDescent="0.3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I9" s="25"/>
      <c r="AJ9" s="19" t="s">
        <v>73</v>
      </c>
      <c r="AK9" s="20" t="s">
        <v>74</v>
      </c>
    </row>
    <row r="10" spans="1:37" ht="16.5" x14ac:dyDescent="0.3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I10" s="25"/>
      <c r="AJ10" s="23" t="s">
        <v>75</v>
      </c>
      <c r="AK10" s="22" t="s">
        <v>76</v>
      </c>
    </row>
    <row r="11" spans="1:37" ht="16.5" x14ac:dyDescent="0.3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I11" s="25"/>
      <c r="AJ11" s="23" t="s">
        <v>77</v>
      </c>
      <c r="AK11" s="22" t="s">
        <v>78</v>
      </c>
    </row>
    <row r="12" spans="1:37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J12" s="19" t="s">
        <v>79</v>
      </c>
      <c r="AK12" s="20" t="s">
        <v>80</v>
      </c>
    </row>
    <row r="13" spans="1:37" x14ac:dyDescent="0.25">
      <c r="AJ13" s="19" t="s">
        <v>81</v>
      </c>
      <c r="AK13" s="20" t="s">
        <v>82</v>
      </c>
    </row>
    <row r="14" spans="1:37" x14ac:dyDescent="0.25">
      <c r="AJ14" s="19" t="s">
        <v>83</v>
      </c>
      <c r="AK14" s="20" t="s">
        <v>84</v>
      </c>
    </row>
    <row r="15" spans="1:37" x14ac:dyDescent="0.25">
      <c r="AJ15" s="17" t="s">
        <v>85</v>
      </c>
      <c r="AK15" s="18" t="s">
        <v>86</v>
      </c>
    </row>
    <row r="16" spans="1:37" x14ac:dyDescent="0.25">
      <c r="AJ16" s="17" t="s">
        <v>87</v>
      </c>
      <c r="AK16" s="18" t="s">
        <v>88</v>
      </c>
    </row>
    <row r="17" spans="36:37" x14ac:dyDescent="0.25">
      <c r="AJ17" s="17" t="s">
        <v>89</v>
      </c>
      <c r="AK17" s="18" t="s">
        <v>90</v>
      </c>
    </row>
    <row r="18" spans="36:37" x14ac:dyDescent="0.25">
      <c r="AJ18" s="17" t="s">
        <v>91</v>
      </c>
      <c r="AK18" s="18" t="s">
        <v>92</v>
      </c>
    </row>
    <row r="19" spans="36:37" x14ac:dyDescent="0.25">
      <c r="AJ19" s="17" t="s">
        <v>93</v>
      </c>
      <c r="AK19" s="18" t="s">
        <v>94</v>
      </c>
    </row>
    <row r="20" spans="36:37" x14ac:dyDescent="0.25">
      <c r="AJ20" s="17" t="s">
        <v>95</v>
      </c>
      <c r="AK20" s="18" t="s">
        <v>96</v>
      </c>
    </row>
    <row r="21" spans="36:37" x14ac:dyDescent="0.25">
      <c r="AJ21" s="17" t="s">
        <v>97</v>
      </c>
      <c r="AK21" s="18" t="s">
        <v>98</v>
      </c>
    </row>
    <row r="22" spans="36:37" x14ac:dyDescent="0.25">
      <c r="AJ22" s="17" t="s">
        <v>99</v>
      </c>
      <c r="AK22" s="18" t="s">
        <v>100</v>
      </c>
    </row>
    <row r="23" spans="36:37" x14ac:dyDescent="0.25">
      <c r="AJ23" s="17" t="s">
        <v>101</v>
      </c>
      <c r="AK23" s="18" t="s">
        <v>102</v>
      </c>
    </row>
    <row r="24" spans="36:37" x14ac:dyDescent="0.25">
      <c r="AJ24" s="17" t="s">
        <v>103</v>
      </c>
      <c r="AK24" s="18" t="s">
        <v>86</v>
      </c>
    </row>
    <row r="25" spans="36:37" x14ac:dyDescent="0.25">
      <c r="AJ25" s="17" t="s">
        <v>104</v>
      </c>
      <c r="AK25" s="18" t="s">
        <v>105</v>
      </c>
    </row>
    <row r="26" spans="36:37" x14ac:dyDescent="0.25">
      <c r="AJ26" s="23" t="s">
        <v>106</v>
      </c>
      <c r="AK26" s="22" t="s">
        <v>107</v>
      </c>
    </row>
    <row r="27" spans="36:37" x14ac:dyDescent="0.25">
      <c r="AJ27" s="17" t="s">
        <v>108</v>
      </c>
      <c r="AK27" s="18" t="s">
        <v>96</v>
      </c>
    </row>
    <row r="28" spans="36:37" x14ac:dyDescent="0.25">
      <c r="AJ28" s="17" t="s">
        <v>109</v>
      </c>
      <c r="AK28" s="18" t="s">
        <v>58</v>
      </c>
    </row>
    <row r="29" spans="36:37" ht="25.5" x14ac:dyDescent="0.25">
      <c r="AJ29" s="17" t="s">
        <v>110</v>
      </c>
      <c r="AK29" s="18" t="s">
        <v>111</v>
      </c>
    </row>
    <row r="30" spans="36:37" x14ac:dyDescent="0.25">
      <c r="AJ30" s="17" t="s">
        <v>112</v>
      </c>
      <c r="AK30" s="18" t="s">
        <v>113</v>
      </c>
    </row>
    <row r="31" spans="36:37" x14ac:dyDescent="0.25">
      <c r="AJ31" s="17" t="s">
        <v>114</v>
      </c>
      <c r="AK31" s="18" t="s">
        <v>115</v>
      </c>
    </row>
    <row r="32" spans="36:37" x14ac:dyDescent="0.25">
      <c r="AJ32" s="17" t="s">
        <v>116</v>
      </c>
      <c r="AK32" s="18" t="s">
        <v>117</v>
      </c>
    </row>
    <row r="33" spans="36:37" x14ac:dyDescent="0.25">
      <c r="AJ33" s="17" t="s">
        <v>118</v>
      </c>
      <c r="AK33" s="18" t="s">
        <v>119</v>
      </c>
    </row>
    <row r="34" spans="36:37" x14ac:dyDescent="0.25">
      <c r="AJ34" s="17" t="s">
        <v>247</v>
      </c>
      <c r="AK34" s="18" t="s">
        <v>248</v>
      </c>
    </row>
    <row r="35" spans="36:37" x14ac:dyDescent="0.25">
      <c r="AJ35" s="17" t="s">
        <v>120</v>
      </c>
      <c r="AK35" s="18" t="s">
        <v>121</v>
      </c>
    </row>
    <row r="36" spans="36:37" x14ac:dyDescent="0.25">
      <c r="AJ36" s="17" t="s">
        <v>122</v>
      </c>
      <c r="AK36" s="18" t="s">
        <v>123</v>
      </c>
    </row>
    <row r="37" spans="36:37" x14ac:dyDescent="0.25">
      <c r="AJ37" s="17" t="s">
        <v>124</v>
      </c>
      <c r="AK37" s="18" t="s">
        <v>125</v>
      </c>
    </row>
    <row r="38" spans="36:37" x14ac:dyDescent="0.25">
      <c r="AJ38" s="17" t="s">
        <v>126</v>
      </c>
      <c r="AK38" s="18" t="s">
        <v>127</v>
      </c>
    </row>
    <row r="39" spans="36:37" x14ac:dyDescent="0.25">
      <c r="AJ39" s="17" t="s">
        <v>128</v>
      </c>
      <c r="AK39" s="18" t="s">
        <v>111</v>
      </c>
    </row>
    <row r="40" spans="36:37" x14ac:dyDescent="0.25">
      <c r="AJ40" s="17" t="s">
        <v>129</v>
      </c>
      <c r="AK40" s="18" t="s">
        <v>102</v>
      </c>
    </row>
    <row r="41" spans="36:37" x14ac:dyDescent="0.25">
      <c r="AJ41" s="19" t="s">
        <v>130</v>
      </c>
      <c r="AK41" s="20" t="s">
        <v>131</v>
      </c>
    </row>
    <row r="42" spans="36:37" x14ac:dyDescent="0.25">
      <c r="AJ42" s="17" t="s">
        <v>132</v>
      </c>
      <c r="AK42" s="18" t="s">
        <v>133</v>
      </c>
    </row>
    <row r="43" spans="36:37" x14ac:dyDescent="0.25">
      <c r="AJ43" s="23" t="s">
        <v>134</v>
      </c>
      <c r="AK43" s="22" t="s">
        <v>135</v>
      </c>
    </row>
    <row r="44" spans="36:37" x14ac:dyDescent="0.25">
      <c r="AJ44" s="23" t="s">
        <v>136</v>
      </c>
      <c r="AK44" s="22" t="s">
        <v>137</v>
      </c>
    </row>
    <row r="45" spans="36:37" x14ac:dyDescent="0.25">
      <c r="AJ45" s="21" t="s">
        <v>138</v>
      </c>
      <c r="AK45" s="22" t="s">
        <v>139</v>
      </c>
    </row>
    <row r="46" spans="36:37" x14ac:dyDescent="0.25">
      <c r="AJ46" s="23" t="s">
        <v>140</v>
      </c>
      <c r="AK46" s="22" t="s">
        <v>141</v>
      </c>
    </row>
    <row r="47" spans="36:37" x14ac:dyDescent="0.25">
      <c r="AJ47" s="23" t="s">
        <v>142</v>
      </c>
      <c r="AK47" s="22" t="s">
        <v>143</v>
      </c>
    </row>
    <row r="48" spans="36:37" x14ac:dyDescent="0.25">
      <c r="AJ48" s="23" t="s">
        <v>144</v>
      </c>
      <c r="AK48" s="22" t="s">
        <v>145</v>
      </c>
    </row>
    <row r="49" spans="36:37" x14ac:dyDescent="0.25">
      <c r="AJ49" s="23" t="s">
        <v>146</v>
      </c>
      <c r="AK49" s="22" t="s">
        <v>147</v>
      </c>
    </row>
    <row r="50" spans="36:37" x14ac:dyDescent="0.25">
      <c r="AJ50" s="19" t="s">
        <v>148</v>
      </c>
      <c r="AK50" s="20" t="s">
        <v>149</v>
      </c>
    </row>
    <row r="51" spans="36:37" x14ac:dyDescent="0.25">
      <c r="AJ51" s="23" t="s">
        <v>150</v>
      </c>
      <c r="AK51" s="22" t="s">
        <v>151</v>
      </c>
    </row>
    <row r="52" spans="36:37" x14ac:dyDescent="0.25">
      <c r="AJ52" s="19" t="s">
        <v>152</v>
      </c>
      <c r="AK52" s="20" t="s">
        <v>153</v>
      </c>
    </row>
    <row r="53" spans="36:37" x14ac:dyDescent="0.25">
      <c r="AJ53" s="23" t="s">
        <v>154</v>
      </c>
      <c r="AK53" s="22" t="s">
        <v>155</v>
      </c>
    </row>
    <row r="54" spans="36:37" x14ac:dyDescent="0.25">
      <c r="AJ54" s="23" t="s">
        <v>156</v>
      </c>
      <c r="AK54" s="22" t="s">
        <v>157</v>
      </c>
    </row>
    <row r="55" spans="36:37" x14ac:dyDescent="0.25">
      <c r="AJ55" s="23" t="s">
        <v>158</v>
      </c>
      <c r="AK55" s="22" t="s">
        <v>159</v>
      </c>
    </row>
    <row r="56" spans="36:37" x14ac:dyDescent="0.25">
      <c r="AJ56" s="23" t="s">
        <v>160</v>
      </c>
      <c r="AK56" s="22" t="s">
        <v>161</v>
      </c>
    </row>
    <row r="57" spans="36:37" x14ac:dyDescent="0.25">
      <c r="AJ57" s="19" t="s">
        <v>162</v>
      </c>
      <c r="AK57" s="20" t="s">
        <v>163</v>
      </c>
    </row>
    <row r="58" spans="36:37" x14ac:dyDescent="0.25">
      <c r="AJ58" s="23" t="s">
        <v>164</v>
      </c>
      <c r="AK58" s="22" t="s">
        <v>165</v>
      </c>
    </row>
    <row r="59" spans="36:37" x14ac:dyDescent="0.25">
      <c r="AJ59" s="23" t="s">
        <v>166</v>
      </c>
      <c r="AK59" s="22" t="s">
        <v>167</v>
      </c>
    </row>
    <row r="60" spans="36:37" x14ac:dyDescent="0.25">
      <c r="AJ60" s="23" t="s">
        <v>168</v>
      </c>
      <c r="AK60" s="22" t="s">
        <v>169</v>
      </c>
    </row>
    <row r="61" spans="36:37" x14ac:dyDescent="0.25">
      <c r="AJ61" s="19" t="s">
        <v>170</v>
      </c>
      <c r="AK61" s="20" t="s">
        <v>171</v>
      </c>
    </row>
    <row r="62" spans="36:37" x14ac:dyDescent="0.25">
      <c r="AJ62" s="23" t="s">
        <v>172</v>
      </c>
      <c r="AK62" s="22" t="s">
        <v>173</v>
      </c>
    </row>
    <row r="63" spans="36:37" x14ac:dyDescent="0.25">
      <c r="AJ63" s="19" t="s">
        <v>174</v>
      </c>
      <c r="AK63" s="20" t="s">
        <v>175</v>
      </c>
    </row>
    <row r="64" spans="36:37" x14ac:dyDescent="0.25">
      <c r="AJ64" s="23" t="s">
        <v>176</v>
      </c>
      <c r="AK64" s="22" t="s">
        <v>177</v>
      </c>
    </row>
    <row r="65" spans="36:37" x14ac:dyDescent="0.25">
      <c r="AJ65" s="21" t="s">
        <v>178</v>
      </c>
      <c r="AK65" s="22" t="s">
        <v>179</v>
      </c>
    </row>
    <row r="66" spans="36:37" x14ac:dyDescent="0.25">
      <c r="AJ66" s="23" t="s">
        <v>180</v>
      </c>
      <c r="AK66" s="22" t="s">
        <v>173</v>
      </c>
    </row>
    <row r="67" spans="36:37" x14ac:dyDescent="0.25">
      <c r="AJ67" s="23" t="s">
        <v>181</v>
      </c>
      <c r="AK67" s="22" t="s">
        <v>182</v>
      </c>
    </row>
    <row r="68" spans="36:37" x14ac:dyDescent="0.25">
      <c r="AJ68" s="23" t="s">
        <v>183</v>
      </c>
      <c r="AK68" s="22" t="s">
        <v>184</v>
      </c>
    </row>
    <row r="69" spans="36:37" x14ac:dyDescent="0.25">
      <c r="AJ69" s="21" t="s">
        <v>185</v>
      </c>
      <c r="AK69" s="22" t="s">
        <v>179</v>
      </c>
    </row>
    <row r="70" spans="36:37" x14ac:dyDescent="0.25">
      <c r="AJ70" s="24" t="s">
        <v>186</v>
      </c>
      <c r="AK70" s="20" t="s">
        <v>187</v>
      </c>
    </row>
    <row r="71" spans="36:37" x14ac:dyDescent="0.25">
      <c r="AJ71" s="23" t="s">
        <v>188</v>
      </c>
      <c r="AK71" s="22" t="s">
        <v>189</v>
      </c>
    </row>
    <row r="72" spans="36:37" x14ac:dyDescent="0.25">
      <c r="AJ72" s="23" t="s">
        <v>190</v>
      </c>
      <c r="AK72" s="22" t="s">
        <v>191</v>
      </c>
    </row>
    <row r="73" spans="36:37" x14ac:dyDescent="0.25">
      <c r="AJ73" s="23" t="s">
        <v>192</v>
      </c>
      <c r="AK73" s="22" t="s">
        <v>193</v>
      </c>
    </row>
    <row r="74" spans="36:37" x14ac:dyDescent="0.25">
      <c r="AJ74" s="21" t="s">
        <v>194</v>
      </c>
      <c r="AK74" s="22" t="s">
        <v>195</v>
      </c>
    </row>
    <row r="75" spans="36:37" x14ac:dyDescent="0.25">
      <c r="AJ75" s="23" t="s">
        <v>196</v>
      </c>
      <c r="AK75" s="22" t="s">
        <v>197</v>
      </c>
    </row>
    <row r="76" spans="36:37" x14ac:dyDescent="0.25">
      <c r="AJ76" s="19" t="s">
        <v>198</v>
      </c>
      <c r="AK76" s="20" t="s">
        <v>199</v>
      </c>
    </row>
    <row r="77" spans="36:37" x14ac:dyDescent="0.25">
      <c r="AJ77" s="24" t="s">
        <v>200</v>
      </c>
      <c r="AK77" s="20" t="s">
        <v>201</v>
      </c>
    </row>
    <row r="78" spans="36:37" x14ac:dyDescent="0.25">
      <c r="AJ78" s="23" t="s">
        <v>202</v>
      </c>
      <c r="AK78" s="22" t="s">
        <v>203</v>
      </c>
    </row>
    <row r="79" spans="36:37" x14ac:dyDescent="0.25">
      <c r="AJ79" s="23" t="s">
        <v>204</v>
      </c>
      <c r="AK79" s="22" t="s">
        <v>205</v>
      </c>
    </row>
    <row r="80" spans="36:37" x14ac:dyDescent="0.25">
      <c r="AJ80" s="23" t="s">
        <v>206</v>
      </c>
      <c r="AK80" s="22" t="s">
        <v>207</v>
      </c>
    </row>
    <row r="81" spans="36:37" x14ac:dyDescent="0.25">
      <c r="AJ81" s="19" t="s">
        <v>208</v>
      </c>
      <c r="AK81" s="20" t="s">
        <v>209</v>
      </c>
    </row>
    <row r="82" spans="36:37" x14ac:dyDescent="0.25">
      <c r="AJ82" s="23" t="s">
        <v>210</v>
      </c>
      <c r="AK82" s="22" t="s">
        <v>211</v>
      </c>
    </row>
    <row r="83" spans="36:37" x14ac:dyDescent="0.25">
      <c r="AJ83" s="23" t="s">
        <v>212</v>
      </c>
      <c r="AK83" s="22" t="s">
        <v>213</v>
      </c>
    </row>
    <row r="84" spans="36:37" x14ac:dyDescent="0.25">
      <c r="AJ84" s="23" t="s">
        <v>214</v>
      </c>
      <c r="AK84" s="22" t="s">
        <v>215</v>
      </c>
    </row>
    <row r="85" spans="36:37" x14ac:dyDescent="0.25">
      <c r="AJ85" s="23" t="s">
        <v>216</v>
      </c>
      <c r="AK85" s="22" t="s">
        <v>217</v>
      </c>
    </row>
    <row r="86" spans="36:37" x14ac:dyDescent="0.25">
      <c r="AJ86" s="23" t="s">
        <v>218</v>
      </c>
      <c r="AK86" s="22" t="s">
        <v>219</v>
      </c>
    </row>
    <row r="87" spans="36:37" x14ac:dyDescent="0.25">
      <c r="AJ87" s="19" t="s">
        <v>220</v>
      </c>
      <c r="AK87" s="20" t="s">
        <v>221</v>
      </c>
    </row>
    <row r="88" spans="36:37" x14ac:dyDescent="0.25">
      <c r="AJ88" s="19" t="s">
        <v>222</v>
      </c>
      <c r="AK88" s="20" t="s">
        <v>223</v>
      </c>
    </row>
    <row r="89" spans="36:37" x14ac:dyDescent="0.25">
      <c r="AJ89" s="19" t="s">
        <v>224</v>
      </c>
      <c r="AK89" s="20" t="s">
        <v>225</v>
      </c>
    </row>
  </sheetData>
  <sheetProtection algorithmName="SHA-512" hashValue="FO/lvO2ZDCq22LIx06nYKqHH9kV23rsKF8ooHe9qb7SoVWSzxtb8SZ6PhVvPTB+lbq6Ch7cNQETvQYRbhOV8hA==" saltValue="MPuI7RAjvsmzry1kzvKsGw==" spinCount="100000" sheet="1" objects="1" scenarios="1" formatCells="0" formatColumns="0"/>
  <mergeCells count="16">
    <mergeCell ref="A4:AA4"/>
    <mergeCell ref="A8:AA12"/>
    <mergeCell ref="A1:E3"/>
    <mergeCell ref="F1:W3"/>
    <mergeCell ref="X1:Y1"/>
    <mergeCell ref="Z1:AA1"/>
    <mergeCell ref="X2:Y2"/>
    <mergeCell ref="Z2:AA2"/>
    <mergeCell ref="X3:Y3"/>
    <mergeCell ref="Z3:AA3"/>
    <mergeCell ref="A5:J5"/>
    <mergeCell ref="A6:J6"/>
    <mergeCell ref="A7:J7"/>
    <mergeCell ref="K5:AA5"/>
    <mergeCell ref="K6:AA6"/>
    <mergeCell ref="K7:AA7"/>
  </mergeCells>
  <phoneticPr fontId="13" type="noConversion"/>
  <dataValidations count="2">
    <dataValidation type="list" allowBlank="1" showInputMessage="1" showErrorMessage="1" sqref="K5:AA5" xr:uid="{D2CB5AD5-E4C8-470D-A7C1-FE5A9BCE4568}">
      <formula1>$AJ$1:$AJ$89</formula1>
    </dataValidation>
    <dataValidation type="list" allowBlank="1" showInputMessage="1" showErrorMessage="1" sqref="K7:AA7" xr:uid="{4A5B3C3B-0D17-4753-A757-607E4258E767}">
      <formula1>$AI$1:$AI$6</formula1>
    </dataValidation>
  </dataValidations>
  <pageMargins left="0.7" right="0.7" top="0.75" bottom="0.75" header="0.3" footer="0.3"/>
  <pageSetup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icture r:id="rId3"/>
  </sheetPr>
  <dimension ref="A1:AM372"/>
  <sheetViews>
    <sheetView view="pageBreakPreview" zoomScaleNormal="100" zoomScaleSheetLayoutView="100" workbookViewId="0">
      <selection activeCell="A12" sqref="A12:C12"/>
    </sheetView>
  </sheetViews>
  <sheetFormatPr baseColWidth="10" defaultColWidth="11.42578125" defaultRowHeight="15.75" x14ac:dyDescent="0.25"/>
  <cols>
    <col min="1" max="3" width="3.7109375" style="6" customWidth="1" collapsed="1"/>
    <col min="4" max="4" width="11.140625" style="6" customWidth="1"/>
    <col min="5" max="8" width="4.28515625" style="6" customWidth="1" collapsed="1"/>
    <col min="9" max="9" width="5.42578125" style="6" customWidth="1" collapsed="1"/>
    <col min="10" max="10" width="4.5703125" style="6" customWidth="1" collapsed="1"/>
    <col min="11" max="11" width="5.140625" style="6" customWidth="1" collapsed="1"/>
    <col min="12" max="12" width="5.7109375" style="6" customWidth="1" collapsed="1"/>
    <col min="13" max="24" width="4.7109375" style="6" customWidth="1" collapsed="1"/>
    <col min="25" max="28" width="6.28515625" style="6" customWidth="1" collapsed="1"/>
    <col min="29" max="34" width="6.28515625" style="6" customWidth="1"/>
    <col min="35" max="35" width="11.42578125" style="6" collapsed="1"/>
    <col min="36" max="36" width="24.7109375" style="11" hidden="1" customWidth="1" collapsed="1"/>
    <col min="37" max="38" width="11.42578125" style="6" collapsed="1"/>
    <col min="39" max="39" width="0" style="6" hidden="1" customWidth="1" collapsed="1"/>
    <col min="40" max="16384" width="11.42578125" style="6" collapsed="1"/>
  </cols>
  <sheetData>
    <row r="1" spans="1:39" ht="18" customHeight="1" x14ac:dyDescent="0.25">
      <c r="A1" s="106"/>
      <c r="B1" s="107"/>
      <c r="C1" s="107"/>
      <c r="D1" s="108"/>
      <c r="E1" s="49" t="s">
        <v>33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50" t="s">
        <v>3</v>
      </c>
      <c r="Z1" s="50"/>
      <c r="AA1" s="50" t="s">
        <v>258</v>
      </c>
      <c r="AB1" s="50"/>
      <c r="AC1" s="31"/>
      <c r="AD1" s="31"/>
      <c r="AE1" s="31"/>
      <c r="AF1" s="31"/>
      <c r="AG1" s="31"/>
      <c r="AH1" s="31"/>
      <c r="AJ1" s="11" t="s">
        <v>29</v>
      </c>
    </row>
    <row r="2" spans="1:39" ht="18" customHeight="1" x14ac:dyDescent="0.25">
      <c r="A2" s="109"/>
      <c r="B2" s="110"/>
      <c r="C2" s="110"/>
      <c r="D2" s="111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50" t="s">
        <v>1</v>
      </c>
      <c r="Z2" s="50"/>
      <c r="AA2" s="207">
        <v>5</v>
      </c>
      <c r="AB2" s="207"/>
      <c r="AC2" s="31"/>
      <c r="AD2" s="31"/>
      <c r="AE2" s="31"/>
      <c r="AF2" s="31"/>
      <c r="AG2" s="31"/>
      <c r="AH2" s="31"/>
      <c r="AJ2" s="11" t="s">
        <v>30</v>
      </c>
      <c r="AM2" s="6" t="s">
        <v>249</v>
      </c>
    </row>
    <row r="3" spans="1:39" ht="18" customHeight="1" x14ac:dyDescent="0.25">
      <c r="A3" s="112"/>
      <c r="B3" s="113"/>
      <c r="C3" s="113"/>
      <c r="D3" s="114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50" t="s">
        <v>2</v>
      </c>
      <c r="Z3" s="50"/>
      <c r="AA3" s="208">
        <v>45434</v>
      </c>
      <c r="AB3" s="208"/>
      <c r="AC3" s="31"/>
      <c r="AD3" s="31"/>
      <c r="AE3" s="31"/>
      <c r="AF3" s="31"/>
      <c r="AG3" s="31"/>
      <c r="AH3" s="31"/>
      <c r="AJ3" s="11" t="s">
        <v>54</v>
      </c>
      <c r="AM3" s="6" t="s">
        <v>250</v>
      </c>
    </row>
    <row r="4" spans="1:39" s="7" customFormat="1" ht="5.0999999999999996" customHeigh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15"/>
      <c r="AD4" s="15"/>
      <c r="AE4" s="15"/>
      <c r="AF4" s="15"/>
      <c r="AG4" s="15"/>
      <c r="AH4" s="15"/>
      <c r="AJ4" s="8" t="s">
        <v>32</v>
      </c>
    </row>
    <row r="5" spans="1:39" s="7" customFormat="1" ht="16.5" customHeight="1" x14ac:dyDescent="0.25">
      <c r="A5" s="101" t="s">
        <v>227</v>
      </c>
      <c r="B5" s="101"/>
      <c r="C5" s="101"/>
      <c r="D5" s="101"/>
      <c r="E5" s="101"/>
      <c r="F5" s="101"/>
      <c r="G5" s="101"/>
      <c r="H5" s="101"/>
      <c r="I5" s="102">
        <f>+Registro!$K$5</f>
        <v>0</v>
      </c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6"/>
      <c r="AD5" s="16"/>
      <c r="AE5" s="16"/>
      <c r="AF5" s="16"/>
      <c r="AG5" s="16"/>
      <c r="AH5" s="16"/>
      <c r="AJ5" s="8"/>
    </row>
    <row r="6" spans="1:39" s="7" customFormat="1" ht="5.25" customHeight="1" x14ac:dyDescent="0.25">
      <c r="A6" s="103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5"/>
      <c r="AC6" s="32"/>
      <c r="AD6" s="32"/>
      <c r="AE6" s="32"/>
      <c r="AF6" s="32"/>
      <c r="AG6" s="32"/>
      <c r="AH6" s="32"/>
      <c r="AJ6" s="8"/>
    </row>
    <row r="7" spans="1:39" s="7" customFormat="1" ht="18" customHeight="1" x14ac:dyDescent="0.25">
      <c r="A7" s="91" t="s">
        <v>28</v>
      </c>
      <c r="B7" s="92"/>
      <c r="C7" s="92"/>
      <c r="D7" s="92"/>
      <c r="E7" s="92"/>
      <c r="F7" s="92"/>
      <c r="G7" s="92"/>
      <c r="H7" s="93"/>
      <c r="I7" s="94" t="s">
        <v>29</v>
      </c>
      <c r="J7" s="95"/>
      <c r="K7" s="95"/>
      <c r="L7" s="95"/>
      <c r="M7" s="95"/>
      <c r="N7" s="95"/>
      <c r="O7" s="95"/>
      <c r="P7" s="95"/>
      <c r="Q7" s="95"/>
      <c r="R7" s="95"/>
      <c r="S7" s="95"/>
      <c r="T7" s="96"/>
      <c r="U7" s="8"/>
      <c r="V7" s="97" t="s">
        <v>38</v>
      </c>
      <c r="W7" s="97"/>
      <c r="X7" s="97"/>
      <c r="Y7" s="98"/>
      <c r="Z7" s="99"/>
      <c r="AA7" s="99"/>
      <c r="AB7" s="100"/>
      <c r="AC7" s="16"/>
      <c r="AD7" s="16"/>
      <c r="AE7" s="16"/>
      <c r="AF7" s="16"/>
      <c r="AG7" s="16"/>
      <c r="AH7" s="16"/>
      <c r="AI7" s="8"/>
      <c r="AJ7" s="8"/>
      <c r="AK7" s="8"/>
      <c r="AL7" s="8"/>
    </row>
    <row r="8" spans="1:39" s="7" customFormat="1" ht="5.0999999999999996" customHeight="1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9"/>
      <c r="AD8" s="9"/>
      <c r="AE8" s="9"/>
      <c r="AF8" s="9"/>
      <c r="AG8" s="9"/>
      <c r="AH8" s="9"/>
      <c r="AI8" s="8"/>
      <c r="AJ8" s="8"/>
      <c r="AK8" s="8"/>
      <c r="AL8" s="8"/>
    </row>
    <row r="9" spans="1:39" s="7" customFormat="1" ht="15.75" customHeight="1" x14ac:dyDescent="0.25">
      <c r="A9" s="76" t="s">
        <v>42</v>
      </c>
      <c r="B9" s="76"/>
      <c r="C9" s="76"/>
      <c r="D9" s="79" t="s">
        <v>232</v>
      </c>
      <c r="E9" s="76" t="s">
        <v>39</v>
      </c>
      <c r="F9" s="76"/>
      <c r="G9" s="76"/>
      <c r="H9" s="76"/>
      <c r="I9" s="78" t="s">
        <v>40</v>
      </c>
      <c r="J9" s="78"/>
      <c r="K9" s="78"/>
      <c r="L9" s="78"/>
      <c r="M9" s="78" t="s">
        <v>41</v>
      </c>
      <c r="N9" s="78"/>
      <c r="O9" s="78"/>
      <c r="P9" s="78"/>
      <c r="Q9" s="76" t="s">
        <v>25</v>
      </c>
      <c r="R9" s="76"/>
      <c r="S9" s="76"/>
      <c r="T9" s="76"/>
      <c r="U9" s="78" t="s">
        <v>8</v>
      </c>
      <c r="V9" s="78"/>
      <c r="W9" s="78"/>
      <c r="X9" s="78"/>
      <c r="Y9" s="61" t="s">
        <v>0</v>
      </c>
      <c r="Z9" s="62"/>
      <c r="AA9" s="62"/>
      <c r="AB9" s="63"/>
      <c r="AC9" s="30"/>
      <c r="AD9" s="30"/>
      <c r="AE9" s="30"/>
      <c r="AF9" s="30"/>
      <c r="AG9" s="30"/>
      <c r="AH9" s="30"/>
      <c r="AI9" s="8"/>
      <c r="AJ9" s="8"/>
      <c r="AK9" s="8"/>
      <c r="AL9" s="8"/>
    </row>
    <row r="10" spans="1:39" s="7" customFormat="1" ht="25.5" customHeight="1" x14ac:dyDescent="0.25">
      <c r="A10" s="76"/>
      <c r="B10" s="76"/>
      <c r="C10" s="76"/>
      <c r="D10" s="80"/>
      <c r="E10" s="76"/>
      <c r="F10" s="76"/>
      <c r="G10" s="76"/>
      <c r="H10" s="76"/>
      <c r="I10" s="78"/>
      <c r="J10" s="78"/>
      <c r="K10" s="78"/>
      <c r="L10" s="78"/>
      <c r="M10" s="78"/>
      <c r="N10" s="78"/>
      <c r="O10" s="78"/>
      <c r="P10" s="78"/>
      <c r="Q10" s="76"/>
      <c r="R10" s="76"/>
      <c r="S10" s="76"/>
      <c r="T10" s="76"/>
      <c r="U10" s="78"/>
      <c r="V10" s="78"/>
      <c r="W10" s="78"/>
      <c r="X10" s="78"/>
      <c r="Y10" s="64"/>
      <c r="Z10" s="65"/>
      <c r="AA10" s="65"/>
      <c r="AB10" s="66"/>
      <c r="AC10" s="30"/>
      <c r="AD10" s="30"/>
      <c r="AE10" s="30"/>
      <c r="AF10" s="30"/>
      <c r="AG10" s="30"/>
      <c r="AH10" s="30"/>
      <c r="AI10" s="8"/>
      <c r="AJ10" s="8"/>
      <c r="AK10" s="8"/>
      <c r="AL10" s="8"/>
    </row>
    <row r="11" spans="1:39" s="7" customFormat="1" ht="18" customHeight="1" x14ac:dyDescent="0.25">
      <c r="A11" s="82" t="s">
        <v>236</v>
      </c>
      <c r="B11" s="83"/>
      <c r="C11" s="84"/>
      <c r="D11" s="81"/>
      <c r="E11" s="77" t="s">
        <v>26</v>
      </c>
      <c r="F11" s="77"/>
      <c r="G11" s="77" t="s">
        <v>27</v>
      </c>
      <c r="H11" s="77"/>
      <c r="I11" s="85" t="s">
        <v>5</v>
      </c>
      <c r="J11" s="86"/>
      <c r="K11" s="85" t="s">
        <v>6</v>
      </c>
      <c r="L11" s="86"/>
      <c r="M11" s="85" t="s">
        <v>4</v>
      </c>
      <c r="N11" s="86"/>
      <c r="O11" s="85" t="s">
        <v>7</v>
      </c>
      <c r="P11" s="86"/>
      <c r="Q11" s="85" t="s">
        <v>5</v>
      </c>
      <c r="R11" s="86"/>
      <c r="S11" s="85" t="s">
        <v>6</v>
      </c>
      <c r="T11" s="86"/>
      <c r="U11" s="87" t="s">
        <v>5</v>
      </c>
      <c r="V11" s="88"/>
      <c r="W11" s="87" t="s">
        <v>6</v>
      </c>
      <c r="X11" s="88"/>
      <c r="Y11" s="67"/>
      <c r="Z11" s="68"/>
      <c r="AA11" s="68"/>
      <c r="AB11" s="69"/>
      <c r="AC11" s="30"/>
      <c r="AD11" s="30"/>
      <c r="AE11" s="30"/>
      <c r="AF11" s="30"/>
      <c r="AG11" s="30"/>
      <c r="AH11" s="30"/>
      <c r="AI11" s="8"/>
      <c r="AJ11" s="8"/>
      <c r="AK11" s="8"/>
      <c r="AL11" s="8"/>
    </row>
    <row r="12" spans="1:39" s="7" customFormat="1" ht="30" customHeight="1" x14ac:dyDescent="0.25">
      <c r="A12" s="73"/>
      <c r="B12" s="74"/>
      <c r="C12" s="75"/>
      <c r="D12" s="37"/>
      <c r="E12" s="58"/>
      <c r="F12" s="58"/>
      <c r="G12" s="58"/>
      <c r="H12" s="58"/>
      <c r="I12" s="89"/>
      <c r="J12" s="90"/>
      <c r="K12" s="89"/>
      <c r="L12" s="90"/>
      <c r="M12" s="89"/>
      <c r="N12" s="90"/>
      <c r="O12" s="89"/>
      <c r="P12" s="90"/>
      <c r="Q12" s="89"/>
      <c r="R12" s="90"/>
      <c r="S12" s="89"/>
      <c r="T12" s="90"/>
      <c r="U12" s="89"/>
      <c r="V12" s="90"/>
      <c r="W12" s="89"/>
      <c r="X12" s="90"/>
      <c r="Y12" s="70"/>
      <c r="Z12" s="71"/>
      <c r="AA12" s="71"/>
      <c r="AB12" s="72"/>
      <c r="AC12" s="33"/>
      <c r="AD12" s="33"/>
      <c r="AE12" s="33"/>
      <c r="AF12" s="33"/>
      <c r="AG12" s="33"/>
      <c r="AH12" s="33"/>
      <c r="AI12" s="8"/>
      <c r="AJ12" s="8"/>
      <c r="AK12" s="8"/>
      <c r="AL12" s="8"/>
    </row>
    <row r="13" spans="1:39" s="7" customFormat="1" ht="30" customHeight="1" x14ac:dyDescent="0.25">
      <c r="A13" s="73"/>
      <c r="B13" s="74"/>
      <c r="C13" s="75"/>
      <c r="D13" s="37"/>
      <c r="E13" s="58"/>
      <c r="F13" s="58"/>
      <c r="G13" s="58"/>
      <c r="H13" s="58"/>
      <c r="I13" s="89"/>
      <c r="J13" s="90"/>
      <c r="K13" s="89"/>
      <c r="L13" s="90"/>
      <c r="M13" s="89"/>
      <c r="N13" s="90"/>
      <c r="O13" s="89"/>
      <c r="P13" s="90"/>
      <c r="Q13" s="89"/>
      <c r="R13" s="90"/>
      <c r="S13" s="89"/>
      <c r="T13" s="90"/>
      <c r="U13" s="89"/>
      <c r="V13" s="90"/>
      <c r="W13" s="89"/>
      <c r="X13" s="90"/>
      <c r="Y13" s="70"/>
      <c r="Z13" s="71"/>
      <c r="AA13" s="71"/>
      <c r="AB13" s="72"/>
      <c r="AC13" s="33"/>
      <c r="AD13" s="33"/>
      <c r="AE13" s="33"/>
      <c r="AF13" s="33"/>
      <c r="AG13" s="33"/>
      <c r="AH13" s="33"/>
      <c r="AI13" s="8"/>
      <c r="AJ13" s="8"/>
      <c r="AK13" s="8"/>
      <c r="AL13" s="8"/>
    </row>
    <row r="14" spans="1:39" s="7" customFormat="1" ht="30" customHeight="1" x14ac:dyDescent="0.25">
      <c r="A14" s="73"/>
      <c r="B14" s="74"/>
      <c r="C14" s="75"/>
      <c r="D14" s="37"/>
      <c r="E14" s="58"/>
      <c r="F14" s="58"/>
      <c r="G14" s="58"/>
      <c r="H14" s="58"/>
      <c r="I14" s="89"/>
      <c r="J14" s="90"/>
      <c r="K14" s="89"/>
      <c r="L14" s="90"/>
      <c r="M14" s="89"/>
      <c r="N14" s="90"/>
      <c r="O14" s="89"/>
      <c r="P14" s="90"/>
      <c r="Q14" s="89"/>
      <c r="R14" s="90"/>
      <c r="S14" s="89"/>
      <c r="T14" s="90"/>
      <c r="U14" s="89"/>
      <c r="V14" s="90"/>
      <c r="W14" s="89"/>
      <c r="X14" s="90"/>
      <c r="Y14" s="70"/>
      <c r="Z14" s="71"/>
      <c r="AA14" s="71"/>
      <c r="AB14" s="72"/>
      <c r="AC14" s="33"/>
      <c r="AD14" s="33"/>
      <c r="AE14" s="33"/>
      <c r="AF14" s="33"/>
      <c r="AG14" s="33"/>
      <c r="AH14" s="33"/>
      <c r="AI14" s="8"/>
      <c r="AJ14" s="8"/>
      <c r="AK14" s="8"/>
      <c r="AL14" s="8"/>
    </row>
    <row r="15" spans="1:39" s="7" customFormat="1" ht="30" customHeight="1" x14ac:dyDescent="0.25">
      <c r="A15" s="73"/>
      <c r="B15" s="74"/>
      <c r="C15" s="75"/>
      <c r="D15" s="37"/>
      <c r="E15" s="58"/>
      <c r="F15" s="58"/>
      <c r="G15" s="58"/>
      <c r="H15" s="58"/>
      <c r="I15" s="89"/>
      <c r="J15" s="90"/>
      <c r="K15" s="89"/>
      <c r="L15" s="90"/>
      <c r="M15" s="89"/>
      <c r="N15" s="90"/>
      <c r="O15" s="89"/>
      <c r="P15" s="90"/>
      <c r="Q15" s="89"/>
      <c r="R15" s="90"/>
      <c r="S15" s="89"/>
      <c r="T15" s="90"/>
      <c r="U15" s="89"/>
      <c r="V15" s="90"/>
      <c r="W15" s="89"/>
      <c r="X15" s="90"/>
      <c r="Y15" s="70"/>
      <c r="Z15" s="71"/>
      <c r="AA15" s="71"/>
      <c r="AB15" s="72"/>
      <c r="AC15" s="33"/>
      <c r="AD15" s="33"/>
      <c r="AE15" s="33"/>
      <c r="AF15" s="33"/>
      <c r="AG15" s="33"/>
      <c r="AH15" s="33"/>
      <c r="AI15" s="8"/>
      <c r="AJ15" s="8"/>
      <c r="AK15" s="8"/>
      <c r="AL15" s="8"/>
    </row>
    <row r="16" spans="1:39" s="7" customFormat="1" ht="30" customHeight="1" x14ac:dyDescent="0.25">
      <c r="A16" s="73"/>
      <c r="B16" s="74"/>
      <c r="C16" s="75"/>
      <c r="D16" s="37"/>
      <c r="E16" s="58"/>
      <c r="F16" s="58"/>
      <c r="G16" s="58"/>
      <c r="H16" s="58"/>
      <c r="I16" s="89"/>
      <c r="J16" s="90"/>
      <c r="K16" s="89"/>
      <c r="L16" s="90"/>
      <c r="M16" s="89"/>
      <c r="N16" s="90"/>
      <c r="O16" s="89"/>
      <c r="P16" s="90"/>
      <c r="Q16" s="89"/>
      <c r="R16" s="90"/>
      <c r="S16" s="89"/>
      <c r="T16" s="90"/>
      <c r="U16" s="89"/>
      <c r="V16" s="90"/>
      <c r="W16" s="89"/>
      <c r="X16" s="90"/>
      <c r="Y16" s="70"/>
      <c r="Z16" s="71"/>
      <c r="AA16" s="71"/>
      <c r="AB16" s="72"/>
      <c r="AC16" s="33"/>
      <c r="AD16" s="33"/>
      <c r="AE16" s="33"/>
      <c r="AF16" s="33"/>
      <c r="AG16" s="33"/>
      <c r="AH16" s="33"/>
      <c r="AI16" s="8"/>
      <c r="AJ16" s="8"/>
      <c r="AK16" s="8"/>
      <c r="AL16" s="8"/>
    </row>
    <row r="17" spans="1:38" s="7" customFormat="1" ht="30" customHeight="1" x14ac:dyDescent="0.25">
      <c r="A17" s="73"/>
      <c r="B17" s="74"/>
      <c r="C17" s="75"/>
      <c r="D17" s="37"/>
      <c r="E17" s="58"/>
      <c r="F17" s="58"/>
      <c r="G17" s="58"/>
      <c r="H17" s="58"/>
      <c r="I17" s="89"/>
      <c r="J17" s="90"/>
      <c r="K17" s="89"/>
      <c r="L17" s="90"/>
      <c r="M17" s="89"/>
      <c r="N17" s="90"/>
      <c r="O17" s="89"/>
      <c r="P17" s="90"/>
      <c r="Q17" s="89"/>
      <c r="R17" s="90"/>
      <c r="S17" s="89"/>
      <c r="T17" s="90"/>
      <c r="U17" s="89"/>
      <c r="V17" s="90"/>
      <c r="W17" s="89"/>
      <c r="X17" s="90"/>
      <c r="Y17" s="70"/>
      <c r="Z17" s="71"/>
      <c r="AA17" s="71"/>
      <c r="AB17" s="72"/>
      <c r="AC17" s="33"/>
      <c r="AD17" s="33"/>
      <c r="AE17" s="33"/>
      <c r="AF17" s="33"/>
      <c r="AG17" s="33"/>
      <c r="AH17" s="33"/>
      <c r="AI17" s="8"/>
      <c r="AJ17" s="8"/>
      <c r="AK17" s="8"/>
      <c r="AL17" s="8"/>
    </row>
    <row r="18" spans="1:38" s="7" customFormat="1" ht="30" customHeight="1" x14ac:dyDescent="0.25">
      <c r="A18" s="73"/>
      <c r="B18" s="74"/>
      <c r="C18" s="75"/>
      <c r="D18" s="37"/>
      <c r="E18" s="58"/>
      <c r="F18" s="58"/>
      <c r="G18" s="58"/>
      <c r="H18" s="58"/>
      <c r="I18" s="89"/>
      <c r="J18" s="90"/>
      <c r="K18" s="89"/>
      <c r="L18" s="90"/>
      <c r="M18" s="89"/>
      <c r="N18" s="90"/>
      <c r="O18" s="89"/>
      <c r="P18" s="90"/>
      <c r="Q18" s="89"/>
      <c r="R18" s="90"/>
      <c r="S18" s="89"/>
      <c r="T18" s="90"/>
      <c r="U18" s="89"/>
      <c r="V18" s="90"/>
      <c r="W18" s="89"/>
      <c r="X18" s="90"/>
      <c r="Y18" s="70"/>
      <c r="Z18" s="71"/>
      <c r="AA18" s="71"/>
      <c r="AB18" s="72"/>
      <c r="AC18" s="33"/>
      <c r="AD18" s="33"/>
      <c r="AE18" s="33"/>
      <c r="AF18" s="33"/>
      <c r="AG18" s="33"/>
      <c r="AH18" s="33"/>
      <c r="AI18" s="8"/>
      <c r="AJ18" s="8"/>
      <c r="AK18" s="8"/>
      <c r="AL18" s="8"/>
    </row>
    <row r="19" spans="1:38" s="7" customFormat="1" ht="30" customHeight="1" x14ac:dyDescent="0.25">
      <c r="A19" s="73"/>
      <c r="B19" s="74"/>
      <c r="C19" s="75"/>
      <c r="D19" s="37"/>
      <c r="E19" s="58"/>
      <c r="F19" s="58"/>
      <c r="G19" s="58"/>
      <c r="H19" s="58"/>
      <c r="I19" s="89"/>
      <c r="J19" s="90"/>
      <c r="K19" s="89"/>
      <c r="L19" s="90"/>
      <c r="M19" s="89"/>
      <c r="N19" s="90"/>
      <c r="O19" s="89"/>
      <c r="P19" s="90"/>
      <c r="Q19" s="89"/>
      <c r="R19" s="90"/>
      <c r="S19" s="89"/>
      <c r="T19" s="90"/>
      <c r="U19" s="89"/>
      <c r="V19" s="90"/>
      <c r="W19" s="89"/>
      <c r="X19" s="90"/>
      <c r="Y19" s="70"/>
      <c r="Z19" s="71"/>
      <c r="AA19" s="71"/>
      <c r="AB19" s="72"/>
      <c r="AC19" s="33"/>
      <c r="AD19" s="33"/>
      <c r="AE19" s="33"/>
      <c r="AF19" s="33"/>
      <c r="AG19" s="33"/>
      <c r="AH19" s="33"/>
      <c r="AI19" s="8"/>
      <c r="AJ19" s="8"/>
      <c r="AK19" s="8"/>
      <c r="AL19" s="8"/>
    </row>
    <row r="20" spans="1:38" s="7" customFormat="1" ht="30" customHeight="1" x14ac:dyDescent="0.25">
      <c r="A20" s="73"/>
      <c r="B20" s="74"/>
      <c r="C20" s="75"/>
      <c r="D20" s="37"/>
      <c r="E20" s="58"/>
      <c r="F20" s="58"/>
      <c r="G20" s="58"/>
      <c r="H20" s="58"/>
      <c r="I20" s="89"/>
      <c r="J20" s="90"/>
      <c r="K20" s="89"/>
      <c r="L20" s="90"/>
      <c r="M20" s="89"/>
      <c r="N20" s="90"/>
      <c r="O20" s="89"/>
      <c r="P20" s="90"/>
      <c r="Q20" s="89"/>
      <c r="R20" s="90"/>
      <c r="S20" s="89"/>
      <c r="T20" s="90"/>
      <c r="U20" s="89"/>
      <c r="V20" s="90"/>
      <c r="W20" s="89"/>
      <c r="X20" s="90"/>
      <c r="Y20" s="70"/>
      <c r="Z20" s="71"/>
      <c r="AA20" s="71"/>
      <c r="AB20" s="72"/>
      <c r="AC20" s="33"/>
      <c r="AD20" s="33"/>
      <c r="AE20" s="33"/>
      <c r="AF20" s="33"/>
      <c r="AG20" s="33"/>
      <c r="AH20" s="33"/>
      <c r="AI20" s="8"/>
      <c r="AJ20" s="8"/>
      <c r="AK20" s="8"/>
      <c r="AL20" s="8"/>
    </row>
    <row r="21" spans="1:38" s="7" customFormat="1" ht="30" customHeight="1" x14ac:dyDescent="0.25">
      <c r="A21" s="73"/>
      <c r="B21" s="74"/>
      <c r="C21" s="75"/>
      <c r="D21" s="37"/>
      <c r="E21" s="58"/>
      <c r="F21" s="58"/>
      <c r="G21" s="58"/>
      <c r="H21" s="58"/>
      <c r="I21" s="89"/>
      <c r="J21" s="90"/>
      <c r="K21" s="89"/>
      <c r="L21" s="90"/>
      <c r="M21" s="89"/>
      <c r="N21" s="90"/>
      <c r="O21" s="89"/>
      <c r="P21" s="90"/>
      <c r="Q21" s="89"/>
      <c r="R21" s="90"/>
      <c r="S21" s="89"/>
      <c r="T21" s="90"/>
      <c r="U21" s="89"/>
      <c r="V21" s="90"/>
      <c r="W21" s="89"/>
      <c r="X21" s="90"/>
      <c r="Y21" s="70"/>
      <c r="Z21" s="71"/>
      <c r="AA21" s="71"/>
      <c r="AB21" s="72"/>
      <c r="AC21" s="33"/>
      <c r="AD21" s="33"/>
      <c r="AE21" s="33"/>
      <c r="AF21" s="33"/>
      <c r="AG21" s="33"/>
      <c r="AH21" s="33"/>
      <c r="AI21" s="8"/>
      <c r="AJ21" s="8"/>
      <c r="AK21" s="8"/>
      <c r="AL21" s="8"/>
    </row>
    <row r="22" spans="1:38" s="7" customFormat="1" ht="30" customHeight="1" x14ac:dyDescent="0.25">
      <c r="A22" s="73"/>
      <c r="B22" s="74"/>
      <c r="C22" s="75"/>
      <c r="D22" s="37"/>
      <c r="E22" s="58"/>
      <c r="F22" s="58"/>
      <c r="G22" s="58"/>
      <c r="H22" s="58"/>
      <c r="I22" s="89"/>
      <c r="J22" s="90"/>
      <c r="K22" s="89"/>
      <c r="L22" s="90"/>
      <c r="M22" s="89"/>
      <c r="N22" s="90"/>
      <c r="O22" s="89"/>
      <c r="P22" s="90"/>
      <c r="Q22" s="89"/>
      <c r="R22" s="90"/>
      <c r="S22" s="89"/>
      <c r="T22" s="90"/>
      <c r="U22" s="89"/>
      <c r="V22" s="90"/>
      <c r="W22" s="89"/>
      <c r="X22" s="90"/>
      <c r="Y22" s="70"/>
      <c r="Z22" s="71"/>
      <c r="AA22" s="71"/>
      <c r="AB22" s="72"/>
      <c r="AC22" s="33"/>
      <c r="AD22" s="33"/>
      <c r="AE22" s="33"/>
      <c r="AF22" s="33"/>
      <c r="AG22" s="33"/>
      <c r="AH22" s="33"/>
      <c r="AI22" s="8"/>
      <c r="AJ22" s="8"/>
      <c r="AK22" s="8"/>
      <c r="AL22" s="8"/>
    </row>
    <row r="23" spans="1:38" s="7" customFormat="1" ht="30" customHeight="1" x14ac:dyDescent="0.25">
      <c r="A23" s="73"/>
      <c r="B23" s="74"/>
      <c r="C23" s="75"/>
      <c r="D23" s="37"/>
      <c r="E23" s="58"/>
      <c r="F23" s="58"/>
      <c r="G23" s="58"/>
      <c r="H23" s="58"/>
      <c r="I23" s="89"/>
      <c r="J23" s="90"/>
      <c r="K23" s="89"/>
      <c r="L23" s="90"/>
      <c r="M23" s="89"/>
      <c r="N23" s="90"/>
      <c r="O23" s="89"/>
      <c r="P23" s="90"/>
      <c r="Q23" s="89"/>
      <c r="R23" s="90"/>
      <c r="S23" s="89"/>
      <c r="T23" s="90"/>
      <c r="U23" s="89"/>
      <c r="V23" s="90"/>
      <c r="W23" s="89"/>
      <c r="X23" s="90"/>
      <c r="Y23" s="70"/>
      <c r="Z23" s="71"/>
      <c r="AA23" s="71"/>
      <c r="AB23" s="72"/>
      <c r="AC23" s="33"/>
      <c r="AD23" s="33"/>
      <c r="AE23" s="33"/>
      <c r="AF23" s="33"/>
      <c r="AG23" s="33"/>
      <c r="AH23" s="33"/>
      <c r="AI23" s="8"/>
      <c r="AJ23" s="8"/>
      <c r="AK23" s="8"/>
      <c r="AL23" s="8"/>
    </row>
    <row r="24" spans="1:38" s="7" customFormat="1" ht="30" customHeight="1" x14ac:dyDescent="0.25">
      <c r="A24" s="73"/>
      <c r="B24" s="74"/>
      <c r="C24" s="75"/>
      <c r="D24" s="37"/>
      <c r="E24" s="58"/>
      <c r="F24" s="58"/>
      <c r="G24" s="58"/>
      <c r="H24" s="58"/>
      <c r="I24" s="89"/>
      <c r="J24" s="90"/>
      <c r="K24" s="89"/>
      <c r="L24" s="90"/>
      <c r="M24" s="89"/>
      <c r="N24" s="90"/>
      <c r="O24" s="89"/>
      <c r="P24" s="90"/>
      <c r="Q24" s="89"/>
      <c r="R24" s="90"/>
      <c r="S24" s="89"/>
      <c r="T24" s="90"/>
      <c r="U24" s="89"/>
      <c r="V24" s="90"/>
      <c r="W24" s="89"/>
      <c r="X24" s="90"/>
      <c r="Y24" s="70"/>
      <c r="Z24" s="71"/>
      <c r="AA24" s="71"/>
      <c r="AB24" s="72"/>
      <c r="AC24" s="33"/>
      <c r="AD24" s="33"/>
      <c r="AE24" s="33"/>
      <c r="AF24" s="33"/>
      <c r="AG24" s="33"/>
      <c r="AH24" s="33"/>
      <c r="AI24" s="8"/>
      <c r="AJ24" s="8"/>
      <c r="AK24" s="8"/>
      <c r="AL24" s="8"/>
    </row>
    <row r="25" spans="1:38" s="7" customFormat="1" ht="30" customHeight="1" x14ac:dyDescent="0.25">
      <c r="A25" s="73"/>
      <c r="B25" s="74"/>
      <c r="C25" s="75"/>
      <c r="D25" s="37"/>
      <c r="E25" s="58"/>
      <c r="F25" s="58"/>
      <c r="G25" s="58"/>
      <c r="H25" s="58"/>
      <c r="I25" s="89"/>
      <c r="J25" s="90"/>
      <c r="K25" s="89"/>
      <c r="L25" s="90"/>
      <c r="M25" s="89"/>
      <c r="N25" s="90"/>
      <c r="O25" s="89"/>
      <c r="P25" s="90"/>
      <c r="Q25" s="89"/>
      <c r="R25" s="90"/>
      <c r="S25" s="89"/>
      <c r="T25" s="90"/>
      <c r="U25" s="89"/>
      <c r="V25" s="90"/>
      <c r="W25" s="89"/>
      <c r="X25" s="90"/>
      <c r="Y25" s="70"/>
      <c r="Z25" s="71"/>
      <c r="AA25" s="71"/>
      <c r="AB25" s="72"/>
      <c r="AC25" s="33"/>
      <c r="AD25" s="33"/>
      <c r="AE25" s="33"/>
      <c r="AF25" s="33"/>
      <c r="AG25" s="33"/>
      <c r="AH25" s="33"/>
      <c r="AI25" s="8"/>
      <c r="AJ25" s="8"/>
      <c r="AK25" s="8"/>
      <c r="AL25" s="8"/>
    </row>
    <row r="26" spans="1:38" s="7" customFormat="1" ht="30" customHeight="1" x14ac:dyDescent="0.25">
      <c r="A26" s="73"/>
      <c r="B26" s="74"/>
      <c r="C26" s="75"/>
      <c r="D26" s="37"/>
      <c r="E26" s="58"/>
      <c r="F26" s="58"/>
      <c r="G26" s="58"/>
      <c r="H26" s="58"/>
      <c r="I26" s="89"/>
      <c r="J26" s="90"/>
      <c r="K26" s="89"/>
      <c r="L26" s="90"/>
      <c r="M26" s="89"/>
      <c r="N26" s="90"/>
      <c r="O26" s="89"/>
      <c r="P26" s="90"/>
      <c r="Q26" s="89"/>
      <c r="R26" s="90"/>
      <c r="S26" s="89"/>
      <c r="T26" s="90"/>
      <c r="U26" s="89"/>
      <c r="V26" s="90"/>
      <c r="W26" s="89"/>
      <c r="X26" s="90"/>
      <c r="Y26" s="70"/>
      <c r="Z26" s="71"/>
      <c r="AA26" s="71"/>
      <c r="AB26" s="72"/>
      <c r="AC26" s="33"/>
      <c r="AD26" s="33"/>
      <c r="AE26" s="33"/>
      <c r="AF26" s="33"/>
      <c r="AG26" s="33"/>
      <c r="AH26" s="33"/>
      <c r="AI26" s="8"/>
      <c r="AJ26" s="8"/>
      <c r="AK26" s="8"/>
      <c r="AL26" s="8"/>
    </row>
    <row r="27" spans="1:38" s="7" customFormat="1" ht="30" customHeight="1" x14ac:dyDescent="0.25">
      <c r="A27" s="73"/>
      <c r="B27" s="74"/>
      <c r="C27" s="75"/>
      <c r="D27" s="37"/>
      <c r="E27" s="58"/>
      <c r="F27" s="58"/>
      <c r="G27" s="58"/>
      <c r="H27" s="58"/>
      <c r="I27" s="89"/>
      <c r="J27" s="90"/>
      <c r="K27" s="89"/>
      <c r="L27" s="90"/>
      <c r="M27" s="89"/>
      <c r="N27" s="90"/>
      <c r="O27" s="89"/>
      <c r="P27" s="90"/>
      <c r="Q27" s="89"/>
      <c r="R27" s="90"/>
      <c r="S27" s="89"/>
      <c r="T27" s="90"/>
      <c r="U27" s="89"/>
      <c r="V27" s="90"/>
      <c r="W27" s="89"/>
      <c r="X27" s="90"/>
      <c r="Y27" s="70"/>
      <c r="Z27" s="71"/>
      <c r="AA27" s="71"/>
      <c r="AB27" s="72"/>
      <c r="AC27" s="33"/>
      <c r="AD27" s="33"/>
      <c r="AE27" s="33"/>
      <c r="AF27" s="33"/>
      <c r="AG27" s="33"/>
      <c r="AH27" s="33"/>
      <c r="AI27" s="8"/>
      <c r="AJ27" s="8"/>
      <c r="AK27" s="8"/>
      <c r="AL27" s="8"/>
    </row>
    <row r="28" spans="1:38" s="7" customFormat="1" ht="30" customHeight="1" x14ac:dyDescent="0.25">
      <c r="A28" s="73"/>
      <c r="B28" s="74"/>
      <c r="C28" s="75"/>
      <c r="D28" s="37"/>
      <c r="E28" s="58"/>
      <c r="F28" s="58"/>
      <c r="G28" s="58"/>
      <c r="H28" s="58"/>
      <c r="I28" s="89"/>
      <c r="J28" s="90"/>
      <c r="K28" s="89"/>
      <c r="L28" s="90"/>
      <c r="M28" s="89"/>
      <c r="N28" s="90"/>
      <c r="O28" s="89"/>
      <c r="P28" s="90"/>
      <c r="Q28" s="89"/>
      <c r="R28" s="90"/>
      <c r="S28" s="89"/>
      <c r="T28" s="90"/>
      <c r="U28" s="89"/>
      <c r="V28" s="90"/>
      <c r="W28" s="89"/>
      <c r="X28" s="90"/>
      <c r="Y28" s="70"/>
      <c r="Z28" s="71"/>
      <c r="AA28" s="71"/>
      <c r="AB28" s="72"/>
      <c r="AC28" s="33"/>
      <c r="AD28" s="33"/>
      <c r="AE28" s="33"/>
      <c r="AF28" s="33"/>
      <c r="AG28" s="33"/>
      <c r="AH28" s="33"/>
      <c r="AI28" s="8"/>
      <c r="AJ28" s="8"/>
      <c r="AK28" s="8"/>
      <c r="AL28" s="8"/>
    </row>
    <row r="29" spans="1:38" s="7" customFormat="1" ht="30" customHeight="1" x14ac:dyDescent="0.25">
      <c r="A29" s="73"/>
      <c r="B29" s="74"/>
      <c r="C29" s="75"/>
      <c r="D29" s="37"/>
      <c r="E29" s="58"/>
      <c r="F29" s="58"/>
      <c r="G29" s="58"/>
      <c r="H29" s="58"/>
      <c r="I29" s="89"/>
      <c r="J29" s="90"/>
      <c r="K29" s="89"/>
      <c r="L29" s="90"/>
      <c r="M29" s="89"/>
      <c r="N29" s="90"/>
      <c r="O29" s="89"/>
      <c r="P29" s="90"/>
      <c r="Q29" s="89"/>
      <c r="R29" s="90"/>
      <c r="S29" s="89"/>
      <c r="T29" s="90"/>
      <c r="U29" s="89"/>
      <c r="V29" s="90"/>
      <c r="W29" s="89"/>
      <c r="X29" s="90"/>
      <c r="Y29" s="70"/>
      <c r="Z29" s="71"/>
      <c r="AA29" s="71"/>
      <c r="AB29" s="72"/>
      <c r="AC29" s="33"/>
      <c r="AD29" s="33"/>
      <c r="AE29" s="33"/>
      <c r="AF29" s="33"/>
      <c r="AG29" s="33"/>
      <c r="AH29" s="33"/>
      <c r="AI29" s="8"/>
      <c r="AJ29" s="8"/>
      <c r="AK29" s="8"/>
      <c r="AL29" s="8"/>
    </row>
    <row r="30" spans="1:38" s="7" customFormat="1" ht="30" customHeight="1" x14ac:dyDescent="0.25">
      <c r="A30" s="73"/>
      <c r="B30" s="74"/>
      <c r="C30" s="75"/>
      <c r="D30" s="37"/>
      <c r="E30" s="58"/>
      <c r="F30" s="58"/>
      <c r="G30" s="58"/>
      <c r="H30" s="58"/>
      <c r="I30" s="89"/>
      <c r="J30" s="90"/>
      <c r="K30" s="89"/>
      <c r="L30" s="90"/>
      <c r="M30" s="89"/>
      <c r="N30" s="90"/>
      <c r="O30" s="89"/>
      <c r="P30" s="90"/>
      <c r="Q30" s="89"/>
      <c r="R30" s="90"/>
      <c r="S30" s="89"/>
      <c r="T30" s="90"/>
      <c r="U30" s="89"/>
      <c r="V30" s="90"/>
      <c r="W30" s="89"/>
      <c r="X30" s="90"/>
      <c r="Y30" s="70"/>
      <c r="Z30" s="71"/>
      <c r="AA30" s="71"/>
      <c r="AB30" s="72"/>
      <c r="AC30" s="33"/>
      <c r="AD30" s="33"/>
      <c r="AE30" s="33"/>
      <c r="AF30" s="33"/>
      <c r="AG30" s="33"/>
      <c r="AH30" s="33"/>
      <c r="AI30" s="8"/>
      <c r="AJ30" s="8"/>
      <c r="AK30" s="8"/>
      <c r="AL30" s="8"/>
    </row>
    <row r="31" spans="1:38" s="7" customFormat="1" ht="30" customHeight="1" x14ac:dyDescent="0.25">
      <c r="A31" s="73"/>
      <c r="B31" s="74"/>
      <c r="C31" s="75"/>
      <c r="D31" s="37"/>
      <c r="E31" s="58"/>
      <c r="F31" s="58"/>
      <c r="G31" s="58"/>
      <c r="H31" s="58"/>
      <c r="I31" s="89"/>
      <c r="J31" s="90"/>
      <c r="K31" s="89"/>
      <c r="L31" s="90"/>
      <c r="M31" s="89"/>
      <c r="N31" s="90"/>
      <c r="O31" s="89"/>
      <c r="P31" s="90"/>
      <c r="Q31" s="89"/>
      <c r="R31" s="90"/>
      <c r="S31" s="89"/>
      <c r="T31" s="90"/>
      <c r="U31" s="89"/>
      <c r="V31" s="90"/>
      <c r="W31" s="89"/>
      <c r="X31" s="90"/>
      <c r="Y31" s="70"/>
      <c r="Z31" s="71"/>
      <c r="AA31" s="71"/>
      <c r="AB31" s="72"/>
      <c r="AC31" s="33"/>
      <c r="AD31" s="33"/>
      <c r="AE31" s="33"/>
      <c r="AF31" s="33"/>
      <c r="AG31" s="33"/>
      <c r="AH31" s="33"/>
      <c r="AI31" s="8"/>
      <c r="AJ31" s="8"/>
      <c r="AK31" s="8"/>
      <c r="AL31" s="8"/>
    </row>
    <row r="32" spans="1:38" s="7" customFormat="1" ht="30" customHeight="1" x14ac:dyDescent="0.25">
      <c r="A32" s="73"/>
      <c r="B32" s="74"/>
      <c r="C32" s="75"/>
      <c r="D32" s="37"/>
      <c r="E32" s="58"/>
      <c r="F32" s="58"/>
      <c r="G32" s="58"/>
      <c r="H32" s="58"/>
      <c r="I32" s="89"/>
      <c r="J32" s="90"/>
      <c r="K32" s="89"/>
      <c r="L32" s="90"/>
      <c r="M32" s="89"/>
      <c r="N32" s="90"/>
      <c r="O32" s="89"/>
      <c r="P32" s="90"/>
      <c r="Q32" s="89"/>
      <c r="R32" s="90"/>
      <c r="S32" s="89"/>
      <c r="T32" s="90"/>
      <c r="U32" s="89"/>
      <c r="V32" s="90"/>
      <c r="W32" s="89"/>
      <c r="X32" s="90"/>
      <c r="Y32" s="70"/>
      <c r="Z32" s="71"/>
      <c r="AA32" s="71"/>
      <c r="AB32" s="72"/>
      <c r="AC32" s="33"/>
      <c r="AD32" s="33"/>
      <c r="AE32" s="33"/>
      <c r="AF32" s="33"/>
      <c r="AG32" s="33"/>
      <c r="AH32" s="33"/>
      <c r="AI32" s="8"/>
      <c r="AJ32" s="8"/>
      <c r="AK32" s="8"/>
      <c r="AL32" s="8"/>
    </row>
    <row r="33" spans="1:38" s="7" customFormat="1" ht="30" customHeight="1" x14ac:dyDescent="0.25">
      <c r="A33" s="73"/>
      <c r="B33" s="74"/>
      <c r="C33" s="75"/>
      <c r="D33" s="37"/>
      <c r="E33" s="58"/>
      <c r="F33" s="58"/>
      <c r="G33" s="58"/>
      <c r="H33" s="58"/>
      <c r="I33" s="89"/>
      <c r="J33" s="90"/>
      <c r="K33" s="89"/>
      <c r="L33" s="90"/>
      <c r="M33" s="89"/>
      <c r="N33" s="90"/>
      <c r="O33" s="89"/>
      <c r="P33" s="90"/>
      <c r="Q33" s="89"/>
      <c r="R33" s="90"/>
      <c r="S33" s="89"/>
      <c r="T33" s="90"/>
      <c r="U33" s="89"/>
      <c r="V33" s="90"/>
      <c r="W33" s="89"/>
      <c r="X33" s="90"/>
      <c r="Y33" s="70"/>
      <c r="Z33" s="71"/>
      <c r="AA33" s="71"/>
      <c r="AB33" s="72"/>
      <c r="AC33" s="33"/>
      <c r="AD33" s="33"/>
      <c r="AE33" s="33"/>
      <c r="AF33" s="33"/>
      <c r="AG33" s="33"/>
      <c r="AH33" s="33"/>
      <c r="AI33" s="8"/>
      <c r="AJ33" s="8"/>
      <c r="AK33" s="8"/>
      <c r="AL33" s="8"/>
    </row>
    <row r="34" spans="1:38" s="7" customFormat="1" ht="30" customHeight="1" x14ac:dyDescent="0.25">
      <c r="A34" s="73"/>
      <c r="B34" s="74"/>
      <c r="C34" s="75"/>
      <c r="D34" s="37"/>
      <c r="E34" s="58"/>
      <c r="F34" s="58"/>
      <c r="G34" s="58"/>
      <c r="H34" s="58"/>
      <c r="I34" s="89"/>
      <c r="J34" s="90"/>
      <c r="K34" s="89"/>
      <c r="L34" s="90"/>
      <c r="M34" s="89"/>
      <c r="N34" s="90"/>
      <c r="O34" s="89"/>
      <c r="P34" s="90"/>
      <c r="Q34" s="89"/>
      <c r="R34" s="90"/>
      <c r="S34" s="89"/>
      <c r="T34" s="90"/>
      <c r="U34" s="89"/>
      <c r="V34" s="90"/>
      <c r="W34" s="89"/>
      <c r="X34" s="90"/>
      <c r="Y34" s="70"/>
      <c r="Z34" s="71"/>
      <c r="AA34" s="71"/>
      <c r="AB34" s="72"/>
      <c r="AC34" s="33"/>
      <c r="AD34" s="33"/>
      <c r="AE34" s="33"/>
      <c r="AF34" s="33"/>
      <c r="AG34" s="33"/>
      <c r="AH34" s="33"/>
      <c r="AI34" s="8"/>
      <c r="AJ34" s="8"/>
      <c r="AK34" s="8"/>
      <c r="AL34" s="8"/>
    </row>
    <row r="35" spans="1:38" s="7" customFormat="1" ht="30" customHeight="1" x14ac:dyDescent="0.25">
      <c r="A35" s="73"/>
      <c r="B35" s="74"/>
      <c r="C35" s="75"/>
      <c r="D35" s="37"/>
      <c r="E35" s="58"/>
      <c r="F35" s="58"/>
      <c r="G35" s="58"/>
      <c r="H35" s="58"/>
      <c r="I35" s="89"/>
      <c r="J35" s="90"/>
      <c r="K35" s="89"/>
      <c r="L35" s="90"/>
      <c r="M35" s="89"/>
      <c r="N35" s="90"/>
      <c r="O35" s="89"/>
      <c r="P35" s="90"/>
      <c r="Q35" s="89"/>
      <c r="R35" s="90"/>
      <c r="S35" s="89"/>
      <c r="T35" s="90"/>
      <c r="U35" s="89"/>
      <c r="V35" s="90"/>
      <c r="W35" s="89"/>
      <c r="X35" s="90"/>
      <c r="Y35" s="70"/>
      <c r="Z35" s="71"/>
      <c r="AA35" s="71"/>
      <c r="AB35" s="72"/>
      <c r="AC35" s="33"/>
      <c r="AD35" s="33"/>
      <c r="AE35" s="33"/>
      <c r="AF35" s="33"/>
      <c r="AG35" s="33"/>
      <c r="AH35" s="33"/>
      <c r="AI35" s="8"/>
      <c r="AJ35" s="8"/>
      <c r="AK35" s="8"/>
      <c r="AL35" s="8"/>
    </row>
    <row r="36" spans="1:38" s="7" customFormat="1" ht="30" customHeight="1" x14ac:dyDescent="0.25">
      <c r="A36" s="73"/>
      <c r="B36" s="74"/>
      <c r="C36" s="75"/>
      <c r="D36" s="37"/>
      <c r="E36" s="58"/>
      <c r="F36" s="58"/>
      <c r="G36" s="58"/>
      <c r="H36" s="58"/>
      <c r="I36" s="89"/>
      <c r="J36" s="90"/>
      <c r="K36" s="89"/>
      <c r="L36" s="90"/>
      <c r="M36" s="89"/>
      <c r="N36" s="90"/>
      <c r="O36" s="89"/>
      <c r="P36" s="90"/>
      <c r="Q36" s="89"/>
      <c r="R36" s="90"/>
      <c r="S36" s="89"/>
      <c r="T36" s="90"/>
      <c r="U36" s="89"/>
      <c r="V36" s="90"/>
      <c r="W36" s="89"/>
      <c r="X36" s="90"/>
      <c r="Y36" s="70"/>
      <c r="Z36" s="71"/>
      <c r="AA36" s="71"/>
      <c r="AB36" s="72"/>
      <c r="AC36" s="33"/>
      <c r="AD36" s="33"/>
      <c r="AE36" s="33"/>
      <c r="AF36" s="33"/>
      <c r="AG36" s="33"/>
      <c r="AH36" s="33"/>
      <c r="AI36" s="8"/>
      <c r="AJ36" s="8"/>
      <c r="AK36" s="8"/>
      <c r="AL36" s="8"/>
    </row>
    <row r="37" spans="1:38" s="7" customFormat="1" ht="30" customHeight="1" x14ac:dyDescent="0.25">
      <c r="A37" s="73"/>
      <c r="B37" s="74"/>
      <c r="C37" s="75"/>
      <c r="D37" s="37"/>
      <c r="E37" s="58"/>
      <c r="F37" s="58"/>
      <c r="G37" s="58"/>
      <c r="H37" s="58"/>
      <c r="I37" s="89"/>
      <c r="J37" s="90"/>
      <c r="K37" s="89"/>
      <c r="L37" s="90"/>
      <c r="M37" s="89"/>
      <c r="N37" s="90"/>
      <c r="O37" s="89"/>
      <c r="P37" s="90"/>
      <c r="Q37" s="89"/>
      <c r="R37" s="90"/>
      <c r="S37" s="89"/>
      <c r="T37" s="90"/>
      <c r="U37" s="89"/>
      <c r="V37" s="90"/>
      <c r="W37" s="89"/>
      <c r="X37" s="90"/>
      <c r="Y37" s="70"/>
      <c r="Z37" s="71"/>
      <c r="AA37" s="71"/>
      <c r="AB37" s="72"/>
      <c r="AC37" s="33"/>
      <c r="AD37" s="33"/>
      <c r="AE37" s="33"/>
      <c r="AF37" s="33"/>
      <c r="AG37" s="33"/>
      <c r="AH37" s="33"/>
      <c r="AI37" s="8"/>
      <c r="AJ37" s="8"/>
      <c r="AK37" s="8"/>
      <c r="AL37" s="8"/>
    </row>
    <row r="38" spans="1:38" s="7" customFormat="1" ht="30" customHeight="1" x14ac:dyDescent="0.25">
      <c r="A38" s="73"/>
      <c r="B38" s="74"/>
      <c r="C38" s="75"/>
      <c r="D38" s="37"/>
      <c r="E38" s="58"/>
      <c r="F38" s="58"/>
      <c r="G38" s="58"/>
      <c r="H38" s="58"/>
      <c r="I38" s="89"/>
      <c r="J38" s="90"/>
      <c r="K38" s="89"/>
      <c r="L38" s="90"/>
      <c r="M38" s="89"/>
      <c r="N38" s="90"/>
      <c r="O38" s="89"/>
      <c r="P38" s="90"/>
      <c r="Q38" s="89"/>
      <c r="R38" s="90"/>
      <c r="S38" s="89"/>
      <c r="T38" s="90"/>
      <c r="U38" s="89"/>
      <c r="V38" s="90"/>
      <c r="W38" s="89"/>
      <c r="X38" s="90"/>
      <c r="Y38" s="70"/>
      <c r="Z38" s="71"/>
      <c r="AA38" s="71"/>
      <c r="AB38" s="72"/>
      <c r="AC38" s="33"/>
      <c r="AD38" s="33"/>
      <c r="AE38" s="33"/>
      <c r="AF38" s="33"/>
      <c r="AG38" s="33"/>
      <c r="AH38" s="33"/>
      <c r="AI38" s="8"/>
      <c r="AJ38" s="8"/>
      <c r="AK38" s="8"/>
      <c r="AL38" s="8"/>
    </row>
    <row r="39" spans="1:38" s="7" customFormat="1" ht="30" customHeight="1" x14ac:dyDescent="0.25">
      <c r="A39" s="73"/>
      <c r="B39" s="74"/>
      <c r="C39" s="75"/>
      <c r="D39" s="37"/>
      <c r="E39" s="58"/>
      <c r="F39" s="58"/>
      <c r="G39" s="58"/>
      <c r="H39" s="58"/>
      <c r="I39" s="89"/>
      <c r="J39" s="90"/>
      <c r="K39" s="89"/>
      <c r="L39" s="90"/>
      <c r="M39" s="89"/>
      <c r="N39" s="90"/>
      <c r="O39" s="89"/>
      <c r="P39" s="90"/>
      <c r="Q39" s="89"/>
      <c r="R39" s="90"/>
      <c r="S39" s="89"/>
      <c r="T39" s="90"/>
      <c r="U39" s="89"/>
      <c r="V39" s="90"/>
      <c r="W39" s="89"/>
      <c r="X39" s="90"/>
      <c r="Y39" s="70"/>
      <c r="Z39" s="71"/>
      <c r="AA39" s="71"/>
      <c r="AB39" s="72"/>
      <c r="AC39" s="33"/>
      <c r="AD39" s="33"/>
      <c r="AE39" s="33"/>
      <c r="AF39" s="33"/>
      <c r="AG39" s="33"/>
      <c r="AH39" s="33"/>
      <c r="AI39" s="8"/>
      <c r="AJ39" s="8"/>
      <c r="AK39" s="8"/>
      <c r="AL39" s="8"/>
    </row>
    <row r="40" spans="1:38" s="7" customFormat="1" ht="30" customHeight="1" x14ac:dyDescent="0.25">
      <c r="A40" s="73"/>
      <c r="B40" s="74"/>
      <c r="C40" s="75"/>
      <c r="D40" s="37"/>
      <c r="E40" s="58"/>
      <c r="F40" s="58"/>
      <c r="G40" s="58"/>
      <c r="H40" s="58"/>
      <c r="I40" s="89"/>
      <c r="J40" s="90"/>
      <c r="K40" s="89"/>
      <c r="L40" s="90"/>
      <c r="M40" s="89"/>
      <c r="N40" s="90"/>
      <c r="O40" s="89"/>
      <c r="P40" s="90"/>
      <c r="Q40" s="89"/>
      <c r="R40" s="90"/>
      <c r="S40" s="89"/>
      <c r="T40" s="90"/>
      <c r="U40" s="89"/>
      <c r="V40" s="90"/>
      <c r="W40" s="89"/>
      <c r="X40" s="90"/>
      <c r="Y40" s="70"/>
      <c r="Z40" s="71"/>
      <c r="AA40" s="71"/>
      <c r="AB40" s="72"/>
      <c r="AC40" s="33"/>
      <c r="AD40" s="33"/>
      <c r="AE40" s="33"/>
      <c r="AF40" s="33"/>
      <c r="AG40" s="33"/>
      <c r="AH40" s="33"/>
      <c r="AI40" s="8"/>
      <c r="AJ40" s="8"/>
      <c r="AK40" s="8"/>
      <c r="AL40" s="8"/>
    </row>
    <row r="41" spans="1:38" s="7" customFormat="1" ht="30" customHeight="1" x14ac:dyDescent="0.25">
      <c r="A41" s="73"/>
      <c r="B41" s="74"/>
      <c r="C41" s="75"/>
      <c r="D41" s="37"/>
      <c r="E41" s="58"/>
      <c r="F41" s="58"/>
      <c r="G41" s="58"/>
      <c r="H41" s="58"/>
      <c r="I41" s="89"/>
      <c r="J41" s="90"/>
      <c r="K41" s="89"/>
      <c r="L41" s="90"/>
      <c r="M41" s="89"/>
      <c r="N41" s="90"/>
      <c r="O41" s="89"/>
      <c r="P41" s="90"/>
      <c r="Q41" s="89"/>
      <c r="R41" s="90"/>
      <c r="S41" s="89"/>
      <c r="T41" s="90"/>
      <c r="U41" s="89"/>
      <c r="V41" s="90"/>
      <c r="W41" s="89"/>
      <c r="X41" s="90"/>
      <c r="Y41" s="70"/>
      <c r="Z41" s="71"/>
      <c r="AA41" s="71"/>
      <c r="AB41" s="72"/>
      <c r="AC41" s="33"/>
      <c r="AD41" s="33"/>
      <c r="AE41" s="33"/>
      <c r="AF41" s="33"/>
      <c r="AG41" s="33"/>
      <c r="AH41" s="33"/>
      <c r="AI41" s="8"/>
      <c r="AJ41" s="8"/>
      <c r="AK41" s="8"/>
      <c r="AL41" s="8"/>
    </row>
    <row r="42" spans="1:38" s="7" customFormat="1" ht="30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8"/>
      <c r="AJ42" s="8"/>
      <c r="AK42" s="8"/>
      <c r="AL42" s="8"/>
    </row>
    <row r="43" spans="1:38" s="7" customFormat="1" ht="30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8"/>
      <c r="AJ43" s="8"/>
      <c r="AK43" s="8"/>
      <c r="AL43" s="8"/>
    </row>
    <row r="44" spans="1:38" s="7" customFormat="1" ht="30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8"/>
      <c r="AJ44" s="8"/>
      <c r="AK44" s="8"/>
      <c r="AL44" s="8"/>
    </row>
    <row r="45" spans="1:38" s="7" customFormat="1" ht="30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8"/>
      <c r="AJ45" s="8"/>
      <c r="AK45" s="8"/>
      <c r="AL45" s="8"/>
    </row>
    <row r="46" spans="1:38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K46" s="11"/>
      <c r="AL46" s="11"/>
    </row>
    <row r="47" spans="1:38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K47" s="11"/>
      <c r="AL47" s="11"/>
    </row>
    <row r="48" spans="1:38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K48" s="11"/>
      <c r="AL48" s="11"/>
    </row>
    <row r="49" spans="1:38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K49" s="11"/>
      <c r="AL49" s="11"/>
    </row>
    <row r="50" spans="1:38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K50" s="11"/>
      <c r="AL50" s="11"/>
    </row>
    <row r="51" spans="1:38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K51" s="11"/>
      <c r="AL51" s="11"/>
    </row>
    <row r="52" spans="1:38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K52" s="11"/>
      <c r="AL52" s="11"/>
    </row>
    <row r="53" spans="1:38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K53" s="11"/>
      <c r="AL53" s="11"/>
    </row>
    <row r="54" spans="1:38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K54" s="11"/>
      <c r="AL54" s="11"/>
    </row>
    <row r="55" spans="1:38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K55" s="11"/>
      <c r="AL55" s="11"/>
    </row>
    <row r="56" spans="1:38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K56" s="11"/>
      <c r="AL56" s="11"/>
    </row>
    <row r="57" spans="1:38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K57" s="11"/>
      <c r="AL57" s="11"/>
    </row>
    <row r="58" spans="1:38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K58" s="11"/>
      <c r="AL58" s="11"/>
    </row>
    <row r="59" spans="1:38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K59" s="11"/>
      <c r="AL59" s="11"/>
    </row>
    <row r="60" spans="1:38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K60" s="11"/>
      <c r="AL60" s="11"/>
    </row>
    <row r="61" spans="1:38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K61" s="11"/>
      <c r="AL61" s="11"/>
    </row>
    <row r="62" spans="1:38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K62" s="11"/>
      <c r="AL62" s="11"/>
    </row>
    <row r="63" spans="1:38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K63" s="11"/>
      <c r="AL63" s="11"/>
    </row>
    <row r="64" spans="1:38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K64" s="11"/>
      <c r="AL64" s="11"/>
    </row>
    <row r="65" spans="1:38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K65" s="11"/>
      <c r="AL65" s="11"/>
    </row>
    <row r="66" spans="1:38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K66" s="11"/>
      <c r="AL66" s="11"/>
    </row>
    <row r="67" spans="1:38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K67" s="11"/>
      <c r="AL67" s="11"/>
    </row>
    <row r="68" spans="1:38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K68" s="11"/>
      <c r="AL68" s="11"/>
    </row>
    <row r="69" spans="1:38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K69" s="11"/>
      <c r="AL69" s="11"/>
    </row>
    <row r="70" spans="1:38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K70" s="11"/>
      <c r="AL70" s="11"/>
    </row>
    <row r="71" spans="1:38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K71" s="11"/>
      <c r="AL71" s="11"/>
    </row>
    <row r="72" spans="1:38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K72" s="11"/>
      <c r="AL72" s="11"/>
    </row>
    <row r="73" spans="1:38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K73" s="11"/>
      <c r="AL73" s="11"/>
    </row>
    <row r="74" spans="1:38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K74" s="11"/>
      <c r="AL74" s="11"/>
    </row>
    <row r="75" spans="1:38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K75" s="11"/>
      <c r="AL75" s="11"/>
    </row>
    <row r="76" spans="1:38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K76" s="11"/>
      <c r="AL76" s="11"/>
    </row>
    <row r="77" spans="1:38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K77" s="11"/>
      <c r="AL77" s="11"/>
    </row>
    <row r="78" spans="1:38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K78" s="11"/>
      <c r="AL78" s="11"/>
    </row>
    <row r="79" spans="1:38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K79" s="11"/>
      <c r="AL79" s="11"/>
    </row>
    <row r="80" spans="1:38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K80" s="11"/>
      <c r="AL80" s="11"/>
    </row>
    <row r="81" spans="1:38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K81" s="11"/>
      <c r="AL81" s="11"/>
    </row>
    <row r="82" spans="1:38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K82" s="11"/>
      <c r="AL82" s="11"/>
    </row>
    <row r="83" spans="1:38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K83" s="11"/>
      <c r="AL83" s="11"/>
    </row>
    <row r="84" spans="1:38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K84" s="11"/>
      <c r="AL84" s="11"/>
    </row>
    <row r="85" spans="1:38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K85" s="11"/>
      <c r="AL85" s="11"/>
    </row>
    <row r="86" spans="1:38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K86" s="11"/>
      <c r="AL86" s="11"/>
    </row>
    <row r="87" spans="1:38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K87" s="11"/>
      <c r="AL87" s="11"/>
    </row>
    <row r="88" spans="1:38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K88" s="11"/>
      <c r="AL88" s="11"/>
    </row>
    <row r="89" spans="1:38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K89" s="11"/>
      <c r="AL89" s="11"/>
    </row>
    <row r="90" spans="1:38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K90" s="11"/>
      <c r="AL90" s="11"/>
    </row>
    <row r="91" spans="1:38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K91" s="11"/>
      <c r="AL91" s="11"/>
    </row>
    <row r="92" spans="1:38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K92" s="11"/>
      <c r="AL92" s="11"/>
    </row>
    <row r="93" spans="1:38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K93" s="11"/>
      <c r="AL93" s="11"/>
    </row>
    <row r="94" spans="1:38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K94" s="11"/>
      <c r="AL94" s="11"/>
    </row>
    <row r="95" spans="1:38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K95" s="11"/>
      <c r="AL95" s="11"/>
    </row>
    <row r="96" spans="1:38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K96" s="11"/>
      <c r="AL96" s="11"/>
    </row>
    <row r="97" spans="1:38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K97" s="11"/>
      <c r="AL97" s="11"/>
    </row>
    <row r="98" spans="1:38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K98" s="11"/>
      <c r="AL98" s="11"/>
    </row>
    <row r="99" spans="1:38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K99" s="11"/>
      <c r="AL99" s="11"/>
    </row>
    <row r="100" spans="1:38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K100" s="11"/>
      <c r="AL100" s="11"/>
    </row>
    <row r="101" spans="1:38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K101" s="11"/>
      <c r="AL101" s="11"/>
    </row>
    <row r="102" spans="1:38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K102" s="11"/>
      <c r="AL102" s="11"/>
    </row>
    <row r="103" spans="1:38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K103" s="11"/>
      <c r="AL103" s="11"/>
    </row>
    <row r="104" spans="1:38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K104" s="11"/>
      <c r="AL104" s="11"/>
    </row>
    <row r="105" spans="1:38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K105" s="11"/>
      <c r="AL105" s="11"/>
    </row>
    <row r="106" spans="1:38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K106" s="11"/>
      <c r="AL106" s="11"/>
    </row>
    <row r="107" spans="1:38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K107" s="11"/>
      <c r="AL107" s="11"/>
    </row>
    <row r="108" spans="1:38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K108" s="11"/>
      <c r="AL108" s="11"/>
    </row>
    <row r="109" spans="1:38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K109" s="11"/>
      <c r="AL109" s="11"/>
    </row>
    <row r="110" spans="1:38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K110" s="11"/>
      <c r="AL110" s="11"/>
    </row>
    <row r="111" spans="1:38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K111" s="11"/>
      <c r="AL111" s="11"/>
    </row>
    <row r="112" spans="1:38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K112" s="11"/>
      <c r="AL112" s="11"/>
    </row>
    <row r="113" spans="1:38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K113" s="11"/>
      <c r="AL113" s="11"/>
    </row>
    <row r="114" spans="1:38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K114" s="11"/>
      <c r="AL114" s="11"/>
    </row>
    <row r="115" spans="1:38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K115" s="11"/>
      <c r="AL115" s="11"/>
    </row>
    <row r="116" spans="1:38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K116" s="11"/>
      <c r="AL116" s="11"/>
    </row>
    <row r="117" spans="1:38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K117" s="11"/>
      <c r="AL117" s="11"/>
    </row>
    <row r="118" spans="1:38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K118" s="11"/>
      <c r="AL118" s="11"/>
    </row>
    <row r="119" spans="1:38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K119" s="11"/>
      <c r="AL119" s="11"/>
    </row>
    <row r="120" spans="1:38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K120" s="11"/>
      <c r="AL120" s="11"/>
    </row>
    <row r="121" spans="1:38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K121" s="11"/>
      <c r="AL121" s="11"/>
    </row>
    <row r="122" spans="1:38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K122" s="11"/>
      <c r="AL122" s="11"/>
    </row>
    <row r="123" spans="1:38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K123" s="11"/>
      <c r="AL123" s="11"/>
    </row>
    <row r="124" spans="1:38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K124" s="11"/>
      <c r="AL124" s="11"/>
    </row>
    <row r="125" spans="1:38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K125" s="11"/>
      <c r="AL125" s="11"/>
    </row>
    <row r="126" spans="1:38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K126" s="11"/>
      <c r="AL126" s="11"/>
    </row>
    <row r="127" spans="1:38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K127" s="11"/>
      <c r="AL127" s="11"/>
    </row>
    <row r="128" spans="1:38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K128" s="11"/>
      <c r="AL128" s="11"/>
    </row>
    <row r="129" spans="1:38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K129" s="11"/>
      <c r="AL129" s="11"/>
    </row>
    <row r="130" spans="1:38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K130" s="11"/>
      <c r="AL130" s="11"/>
    </row>
    <row r="131" spans="1:38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K131" s="11"/>
      <c r="AL131" s="11"/>
    </row>
    <row r="132" spans="1:38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K132" s="11"/>
      <c r="AL132" s="11"/>
    </row>
    <row r="133" spans="1:38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K133" s="11"/>
      <c r="AL133" s="11"/>
    </row>
    <row r="134" spans="1:38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K134" s="11"/>
      <c r="AL134" s="11"/>
    </row>
    <row r="135" spans="1:38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K135" s="11"/>
      <c r="AL135" s="11"/>
    </row>
    <row r="136" spans="1:38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K136" s="11"/>
      <c r="AL136" s="11"/>
    </row>
    <row r="137" spans="1:38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K137" s="11"/>
      <c r="AL137" s="11"/>
    </row>
    <row r="138" spans="1:38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K138" s="11"/>
      <c r="AL138" s="11"/>
    </row>
    <row r="139" spans="1:38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K139" s="11"/>
      <c r="AL139" s="11"/>
    </row>
    <row r="140" spans="1:38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K140" s="11"/>
      <c r="AL140" s="11"/>
    </row>
    <row r="141" spans="1:38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K141" s="11"/>
      <c r="AL141" s="11"/>
    </row>
    <row r="142" spans="1:38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K142" s="11"/>
      <c r="AL142" s="11"/>
    </row>
    <row r="143" spans="1:38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K143" s="11"/>
      <c r="AL143" s="11"/>
    </row>
    <row r="144" spans="1:38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K144" s="11"/>
      <c r="AL144" s="11"/>
    </row>
    <row r="145" spans="1:38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K145" s="11"/>
      <c r="AL145" s="11"/>
    </row>
    <row r="146" spans="1:38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K146" s="11"/>
      <c r="AL146" s="11"/>
    </row>
    <row r="147" spans="1:38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K147" s="11"/>
      <c r="AL147" s="11"/>
    </row>
    <row r="148" spans="1:38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K148" s="11"/>
      <c r="AL148" s="11"/>
    </row>
    <row r="149" spans="1:38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K149" s="11"/>
      <c r="AL149" s="11"/>
    </row>
    <row r="150" spans="1:38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K150" s="11"/>
      <c r="AL150" s="11"/>
    </row>
    <row r="151" spans="1:38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K151" s="11"/>
      <c r="AL151" s="11"/>
    </row>
    <row r="152" spans="1:38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K152" s="11"/>
      <c r="AL152" s="11"/>
    </row>
    <row r="153" spans="1:38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K153" s="11"/>
      <c r="AL153" s="11"/>
    </row>
    <row r="154" spans="1:38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K154" s="11"/>
      <c r="AL154" s="11"/>
    </row>
    <row r="155" spans="1:38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K155" s="11"/>
      <c r="AL155" s="11"/>
    </row>
    <row r="156" spans="1:38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K156" s="11"/>
      <c r="AL156" s="11"/>
    </row>
    <row r="157" spans="1:38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K157" s="11"/>
      <c r="AL157" s="11"/>
    </row>
    <row r="158" spans="1:38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K158" s="11"/>
      <c r="AL158" s="11"/>
    </row>
    <row r="159" spans="1:38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K159" s="11"/>
      <c r="AL159" s="11"/>
    </row>
    <row r="160" spans="1:38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K160" s="11"/>
      <c r="AL160" s="11"/>
    </row>
    <row r="161" spans="1:38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K161" s="11"/>
      <c r="AL161" s="11"/>
    </row>
    <row r="162" spans="1:38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K162" s="11"/>
      <c r="AL162" s="11"/>
    </row>
    <row r="163" spans="1:38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K163" s="11"/>
      <c r="AL163" s="11"/>
    </row>
    <row r="164" spans="1:38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K164" s="11"/>
      <c r="AL164" s="11"/>
    </row>
    <row r="165" spans="1:38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K165" s="11"/>
      <c r="AL165" s="11"/>
    </row>
    <row r="166" spans="1:38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K166" s="11"/>
      <c r="AL166" s="11"/>
    </row>
    <row r="167" spans="1:38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K167" s="11"/>
      <c r="AL167" s="11"/>
    </row>
    <row r="168" spans="1:38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K168" s="11"/>
      <c r="AL168" s="11"/>
    </row>
    <row r="169" spans="1:38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K169" s="11"/>
      <c r="AL169" s="11"/>
    </row>
    <row r="170" spans="1:38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K170" s="11"/>
      <c r="AL170" s="11"/>
    </row>
    <row r="171" spans="1:38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K171" s="11"/>
      <c r="AL171" s="11"/>
    </row>
    <row r="172" spans="1:38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K172" s="11"/>
      <c r="AL172" s="11"/>
    </row>
    <row r="173" spans="1:38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K173" s="11"/>
      <c r="AL173" s="11"/>
    </row>
    <row r="174" spans="1:38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K174" s="11"/>
      <c r="AL174" s="11"/>
    </row>
    <row r="175" spans="1:38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K175" s="11"/>
      <c r="AL175" s="11"/>
    </row>
    <row r="176" spans="1:38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K176" s="11"/>
      <c r="AL176" s="11"/>
    </row>
    <row r="177" spans="1:38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K177" s="11"/>
      <c r="AL177" s="11"/>
    </row>
    <row r="178" spans="1:38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K178" s="11"/>
      <c r="AL178" s="11"/>
    </row>
    <row r="179" spans="1:38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K179" s="11"/>
      <c r="AL179" s="11"/>
    </row>
    <row r="180" spans="1:38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K180" s="11"/>
      <c r="AL180" s="11"/>
    </row>
    <row r="181" spans="1:38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K181" s="11"/>
      <c r="AL181" s="11"/>
    </row>
    <row r="182" spans="1:38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K182" s="11"/>
      <c r="AL182" s="11"/>
    </row>
    <row r="183" spans="1:38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K183" s="11"/>
      <c r="AL183" s="11"/>
    </row>
    <row r="184" spans="1:38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K184" s="11"/>
      <c r="AL184" s="11"/>
    </row>
    <row r="185" spans="1:38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K185" s="11"/>
      <c r="AL185" s="11"/>
    </row>
    <row r="186" spans="1:38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K186" s="11"/>
      <c r="AL186" s="11"/>
    </row>
    <row r="187" spans="1:38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K187" s="11"/>
      <c r="AL187" s="11"/>
    </row>
    <row r="188" spans="1:38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K188" s="11"/>
      <c r="AL188" s="11"/>
    </row>
    <row r="189" spans="1:38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K189" s="11"/>
      <c r="AL189" s="11"/>
    </row>
    <row r="190" spans="1:38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K190" s="11"/>
      <c r="AL190" s="11"/>
    </row>
    <row r="191" spans="1:38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K191" s="11"/>
      <c r="AL191" s="11"/>
    </row>
    <row r="192" spans="1:38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K192" s="11"/>
      <c r="AL192" s="11"/>
    </row>
    <row r="193" spans="1:38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K193" s="11"/>
      <c r="AL193" s="11"/>
    </row>
    <row r="194" spans="1:38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K194" s="11"/>
      <c r="AL194" s="11"/>
    </row>
    <row r="195" spans="1:38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K195" s="11"/>
      <c r="AL195" s="11"/>
    </row>
    <row r="196" spans="1:38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K196" s="11"/>
      <c r="AL196" s="11"/>
    </row>
    <row r="197" spans="1:38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K197" s="11"/>
      <c r="AL197" s="11"/>
    </row>
    <row r="198" spans="1:38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K198" s="11"/>
      <c r="AL198" s="11"/>
    </row>
    <row r="199" spans="1:38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K199" s="11"/>
      <c r="AL199" s="11"/>
    </row>
    <row r="200" spans="1:38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K200" s="11"/>
      <c r="AL200" s="11"/>
    </row>
    <row r="201" spans="1:38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K201" s="11"/>
      <c r="AL201" s="11"/>
    </row>
    <row r="202" spans="1:38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K202" s="11"/>
      <c r="AL202" s="11"/>
    </row>
    <row r="203" spans="1:38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K203" s="11"/>
      <c r="AL203" s="11"/>
    </row>
    <row r="204" spans="1:38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K204" s="11"/>
      <c r="AL204" s="11"/>
    </row>
    <row r="205" spans="1:38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K205" s="11"/>
      <c r="AL205" s="11"/>
    </row>
    <row r="206" spans="1:38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K206" s="11"/>
      <c r="AL206" s="11"/>
    </row>
    <row r="207" spans="1:38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K207" s="11"/>
      <c r="AL207" s="11"/>
    </row>
    <row r="208" spans="1:38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K208" s="11"/>
      <c r="AL208" s="11"/>
    </row>
    <row r="209" spans="1:38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K209" s="11"/>
      <c r="AL209" s="11"/>
    </row>
    <row r="210" spans="1:38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K210" s="11"/>
      <c r="AL210" s="11"/>
    </row>
    <row r="211" spans="1:38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K211" s="11"/>
      <c r="AL211" s="11"/>
    </row>
    <row r="212" spans="1:38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K212" s="11"/>
      <c r="AL212" s="11"/>
    </row>
    <row r="213" spans="1:38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K213" s="11"/>
      <c r="AL213" s="11"/>
    </row>
    <row r="214" spans="1:38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K214" s="11"/>
      <c r="AL214" s="11"/>
    </row>
    <row r="215" spans="1:38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K215" s="11"/>
      <c r="AL215" s="11"/>
    </row>
    <row r="216" spans="1:38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K216" s="11"/>
      <c r="AL216" s="11"/>
    </row>
    <row r="217" spans="1:38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K217" s="11"/>
      <c r="AL217" s="11"/>
    </row>
    <row r="218" spans="1:38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K218" s="11"/>
      <c r="AL218" s="11"/>
    </row>
    <row r="219" spans="1:38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K219" s="11"/>
      <c r="AL219" s="11"/>
    </row>
    <row r="220" spans="1:38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K220" s="11"/>
      <c r="AL220" s="11"/>
    </row>
    <row r="221" spans="1:38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K221" s="11"/>
      <c r="AL221" s="11"/>
    </row>
    <row r="222" spans="1:38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K222" s="11"/>
      <c r="AL222" s="11"/>
    </row>
    <row r="223" spans="1:38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K223" s="11"/>
      <c r="AL223" s="11"/>
    </row>
    <row r="224" spans="1:38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K224" s="11"/>
      <c r="AL224" s="11"/>
    </row>
    <row r="225" spans="1:38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K225" s="11"/>
      <c r="AL225" s="11"/>
    </row>
    <row r="226" spans="1:38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K226" s="11"/>
      <c r="AL226" s="11"/>
    </row>
    <row r="227" spans="1:38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K227" s="11"/>
      <c r="AL227" s="11"/>
    </row>
    <row r="228" spans="1:38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K228" s="11"/>
      <c r="AL228" s="11"/>
    </row>
    <row r="229" spans="1:38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K229" s="11"/>
      <c r="AL229" s="11"/>
    </row>
    <row r="230" spans="1:38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K230" s="11"/>
      <c r="AL230" s="11"/>
    </row>
    <row r="231" spans="1:38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K231" s="11"/>
      <c r="AL231" s="11"/>
    </row>
    <row r="232" spans="1:38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K232" s="11"/>
      <c r="AL232" s="11"/>
    </row>
    <row r="233" spans="1:38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K233" s="11"/>
      <c r="AL233" s="11"/>
    </row>
    <row r="234" spans="1:38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K234" s="11"/>
      <c r="AL234" s="11"/>
    </row>
    <row r="235" spans="1:38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K235" s="11"/>
      <c r="AL235" s="11"/>
    </row>
    <row r="236" spans="1:38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K236" s="11"/>
      <c r="AL236" s="11"/>
    </row>
    <row r="237" spans="1:38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K237" s="11"/>
      <c r="AL237" s="11"/>
    </row>
    <row r="238" spans="1:38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K238" s="11"/>
      <c r="AL238" s="11"/>
    </row>
    <row r="239" spans="1:38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K239" s="11"/>
      <c r="AL239" s="11"/>
    </row>
    <row r="240" spans="1:38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K240" s="11"/>
      <c r="AL240" s="11"/>
    </row>
    <row r="241" spans="1:38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K241" s="11"/>
      <c r="AL241" s="11"/>
    </row>
    <row r="242" spans="1:38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K242" s="11"/>
      <c r="AL242" s="11"/>
    </row>
    <row r="243" spans="1:38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K243" s="11"/>
      <c r="AL243" s="11"/>
    </row>
    <row r="244" spans="1:38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K244" s="11"/>
      <c r="AL244" s="11"/>
    </row>
    <row r="245" spans="1:38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K245" s="11"/>
      <c r="AL245" s="11"/>
    </row>
    <row r="246" spans="1:38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K246" s="11"/>
      <c r="AL246" s="11"/>
    </row>
    <row r="247" spans="1:38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K247" s="11"/>
      <c r="AL247" s="11"/>
    </row>
    <row r="248" spans="1:38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K248" s="11"/>
      <c r="AL248" s="11"/>
    </row>
    <row r="249" spans="1:38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K249" s="11"/>
      <c r="AL249" s="11"/>
    </row>
    <row r="250" spans="1:38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K250" s="11"/>
      <c r="AL250" s="11"/>
    </row>
    <row r="251" spans="1:38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K251" s="11"/>
      <c r="AL251" s="11"/>
    </row>
    <row r="252" spans="1:38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K252" s="11"/>
      <c r="AL252" s="11"/>
    </row>
    <row r="253" spans="1:38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K253" s="11"/>
      <c r="AL253" s="11"/>
    </row>
    <row r="254" spans="1:38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K254" s="11"/>
      <c r="AL254" s="11"/>
    </row>
    <row r="255" spans="1:38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K255" s="11"/>
      <c r="AL255" s="11"/>
    </row>
    <row r="256" spans="1:38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K256" s="11"/>
      <c r="AL256" s="11"/>
    </row>
    <row r="257" spans="1:38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K257" s="11"/>
      <c r="AL257" s="11"/>
    </row>
    <row r="258" spans="1:38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K258" s="11"/>
      <c r="AL258" s="11"/>
    </row>
    <row r="259" spans="1:38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K259" s="11"/>
      <c r="AL259" s="11"/>
    </row>
    <row r="260" spans="1:38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K260" s="11"/>
      <c r="AL260" s="11"/>
    </row>
    <row r="261" spans="1:38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K261" s="11"/>
      <c r="AL261" s="11"/>
    </row>
    <row r="262" spans="1:38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K262" s="11"/>
      <c r="AL262" s="11"/>
    </row>
    <row r="263" spans="1:38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K263" s="11"/>
      <c r="AL263" s="11"/>
    </row>
    <row r="264" spans="1:38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K264" s="11"/>
      <c r="AL264" s="11"/>
    </row>
    <row r="265" spans="1:38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K265" s="11"/>
      <c r="AL265" s="11"/>
    </row>
    <row r="266" spans="1:38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K266" s="11"/>
      <c r="AL266" s="11"/>
    </row>
    <row r="267" spans="1:38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K267" s="11"/>
      <c r="AL267" s="11"/>
    </row>
    <row r="268" spans="1:38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K268" s="11"/>
      <c r="AL268" s="11"/>
    </row>
    <row r="269" spans="1:38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K269" s="11"/>
      <c r="AL269" s="11"/>
    </row>
    <row r="270" spans="1:38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K270" s="11"/>
      <c r="AL270" s="11"/>
    </row>
    <row r="271" spans="1:38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K271" s="11"/>
      <c r="AL271" s="11"/>
    </row>
    <row r="272" spans="1:38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K272" s="11"/>
      <c r="AL272" s="11"/>
    </row>
    <row r="273" spans="1:38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K273" s="11"/>
      <c r="AL273" s="11"/>
    </row>
    <row r="274" spans="1:38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K274" s="11"/>
      <c r="AL274" s="11"/>
    </row>
    <row r="275" spans="1:38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K275" s="11"/>
      <c r="AL275" s="11"/>
    </row>
    <row r="276" spans="1:38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K276" s="11"/>
      <c r="AL276" s="11"/>
    </row>
    <row r="277" spans="1:38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K277" s="11"/>
      <c r="AL277" s="11"/>
    </row>
    <row r="278" spans="1:38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K278" s="11"/>
      <c r="AL278" s="11"/>
    </row>
    <row r="279" spans="1:38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K279" s="11"/>
      <c r="AL279" s="11"/>
    </row>
    <row r="280" spans="1:38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K280" s="11"/>
      <c r="AL280" s="11"/>
    </row>
    <row r="281" spans="1:38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K281" s="11"/>
      <c r="AL281" s="11"/>
    </row>
    <row r="282" spans="1:38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K282" s="11"/>
      <c r="AL282" s="11"/>
    </row>
    <row r="283" spans="1:38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K283" s="11"/>
      <c r="AL283" s="11"/>
    </row>
    <row r="284" spans="1:38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K284" s="11"/>
      <c r="AL284" s="11"/>
    </row>
    <row r="285" spans="1:38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K285" s="11"/>
      <c r="AL285" s="11"/>
    </row>
    <row r="286" spans="1:38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K286" s="11"/>
      <c r="AL286" s="11"/>
    </row>
    <row r="287" spans="1:38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K287" s="11"/>
      <c r="AL287" s="11"/>
    </row>
    <row r="288" spans="1:38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K288" s="11"/>
      <c r="AL288" s="11"/>
    </row>
    <row r="289" spans="1:38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K289" s="11"/>
      <c r="AL289" s="11"/>
    </row>
    <row r="290" spans="1:38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K290" s="11"/>
      <c r="AL290" s="11"/>
    </row>
    <row r="291" spans="1:38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K291" s="11"/>
      <c r="AL291" s="11"/>
    </row>
    <row r="292" spans="1:38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K292" s="11"/>
      <c r="AL292" s="11"/>
    </row>
    <row r="293" spans="1:38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K293" s="11"/>
      <c r="AL293" s="11"/>
    </row>
    <row r="294" spans="1:38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K294" s="11"/>
      <c r="AL294" s="11"/>
    </row>
    <row r="295" spans="1:38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K295" s="11"/>
      <c r="AL295" s="11"/>
    </row>
    <row r="296" spans="1:38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K296" s="11"/>
      <c r="AL296" s="11"/>
    </row>
    <row r="297" spans="1:38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K297" s="11"/>
      <c r="AL297" s="11"/>
    </row>
    <row r="298" spans="1:38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K298" s="11"/>
      <c r="AL298" s="11"/>
    </row>
    <row r="299" spans="1:38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K299" s="11"/>
      <c r="AL299" s="11"/>
    </row>
    <row r="300" spans="1:38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K300" s="11"/>
      <c r="AL300" s="11"/>
    </row>
    <row r="301" spans="1:38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K301" s="11"/>
      <c r="AL301" s="11"/>
    </row>
    <row r="302" spans="1:38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K302" s="11"/>
      <c r="AL302" s="11"/>
    </row>
    <row r="303" spans="1:38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K303" s="11"/>
      <c r="AL303" s="11"/>
    </row>
    <row r="304" spans="1:38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K304" s="11"/>
      <c r="AL304" s="11"/>
    </row>
    <row r="305" spans="1:38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K305" s="11"/>
      <c r="AL305" s="11"/>
    </row>
    <row r="306" spans="1:38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K306" s="11"/>
      <c r="AL306" s="11"/>
    </row>
    <row r="307" spans="1:38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K307" s="11"/>
      <c r="AL307" s="11"/>
    </row>
    <row r="308" spans="1:38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K308" s="11"/>
      <c r="AL308" s="11"/>
    </row>
    <row r="309" spans="1:38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K309" s="11"/>
      <c r="AL309" s="11"/>
    </row>
    <row r="310" spans="1:38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K310" s="11"/>
      <c r="AL310" s="11"/>
    </row>
    <row r="311" spans="1:38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K311" s="11"/>
      <c r="AL311" s="11"/>
    </row>
    <row r="312" spans="1:38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K312" s="11"/>
      <c r="AL312" s="11"/>
    </row>
    <row r="313" spans="1:38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K313" s="11"/>
      <c r="AL313" s="11"/>
    </row>
    <row r="314" spans="1:38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K314" s="11"/>
      <c r="AL314" s="11"/>
    </row>
    <row r="315" spans="1:38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K315" s="11"/>
      <c r="AL315" s="11"/>
    </row>
    <row r="316" spans="1:38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K316" s="11"/>
      <c r="AL316" s="11"/>
    </row>
    <row r="317" spans="1:38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K317" s="11"/>
      <c r="AL317" s="11"/>
    </row>
    <row r="318" spans="1:38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K318" s="11"/>
      <c r="AL318" s="11"/>
    </row>
    <row r="319" spans="1:38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K319" s="11"/>
      <c r="AL319" s="11"/>
    </row>
    <row r="320" spans="1:38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K320" s="11"/>
      <c r="AL320" s="11"/>
    </row>
    <row r="321" spans="1:38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K321" s="11"/>
      <c r="AL321" s="11"/>
    </row>
    <row r="322" spans="1:38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K322" s="11"/>
      <c r="AL322" s="11"/>
    </row>
    <row r="323" spans="1:38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K323" s="11"/>
      <c r="AL323" s="11"/>
    </row>
    <row r="324" spans="1:38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K324" s="11"/>
      <c r="AL324" s="11"/>
    </row>
    <row r="325" spans="1:38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K325" s="11"/>
      <c r="AL325" s="11"/>
    </row>
    <row r="326" spans="1:38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K326" s="11"/>
      <c r="AL326" s="11"/>
    </row>
    <row r="327" spans="1:38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K327" s="11"/>
      <c r="AL327" s="11"/>
    </row>
    <row r="328" spans="1:38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K328" s="11"/>
      <c r="AL328" s="11"/>
    </row>
    <row r="329" spans="1:38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K329" s="11"/>
      <c r="AL329" s="11"/>
    </row>
    <row r="330" spans="1:38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K330" s="11"/>
      <c r="AL330" s="11"/>
    </row>
    <row r="331" spans="1:38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K331" s="11"/>
      <c r="AL331" s="11"/>
    </row>
    <row r="332" spans="1:38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K332" s="11"/>
      <c r="AL332" s="11"/>
    </row>
    <row r="333" spans="1:38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K333" s="11"/>
      <c r="AL333" s="11"/>
    </row>
    <row r="334" spans="1:38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K334" s="11"/>
      <c r="AL334" s="11"/>
    </row>
    <row r="335" spans="1:38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K335" s="11"/>
      <c r="AL335" s="11"/>
    </row>
    <row r="336" spans="1:38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K336" s="11"/>
      <c r="AL336" s="11"/>
    </row>
    <row r="337" spans="1:38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K337" s="11"/>
      <c r="AL337" s="11"/>
    </row>
    <row r="338" spans="1:38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K338" s="11"/>
      <c r="AL338" s="11"/>
    </row>
    <row r="339" spans="1:38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K339" s="11"/>
      <c r="AL339" s="11"/>
    </row>
    <row r="340" spans="1:38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K340" s="11"/>
      <c r="AL340" s="11"/>
    </row>
    <row r="341" spans="1:38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K341" s="11"/>
      <c r="AL341" s="11"/>
    </row>
    <row r="342" spans="1:38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K342" s="11"/>
      <c r="AL342" s="11"/>
    </row>
    <row r="343" spans="1:38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K343" s="11"/>
      <c r="AL343" s="11"/>
    </row>
    <row r="344" spans="1:38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K344" s="11"/>
      <c r="AL344" s="11"/>
    </row>
    <row r="345" spans="1:38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K345" s="11"/>
      <c r="AL345" s="11"/>
    </row>
    <row r="346" spans="1:38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K346" s="11"/>
      <c r="AL346" s="11"/>
    </row>
    <row r="347" spans="1:38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K347" s="11"/>
      <c r="AL347" s="11"/>
    </row>
    <row r="348" spans="1:38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K348" s="11"/>
      <c r="AL348" s="11"/>
    </row>
    <row r="349" spans="1:38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K349" s="11"/>
      <c r="AL349" s="11"/>
    </row>
    <row r="350" spans="1:38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K350" s="11"/>
      <c r="AL350" s="11"/>
    </row>
    <row r="351" spans="1:38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K351" s="11"/>
      <c r="AL351" s="11"/>
    </row>
    <row r="352" spans="1:38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K352" s="11"/>
      <c r="AL352" s="11"/>
    </row>
    <row r="353" spans="1:38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K353" s="11"/>
      <c r="AL353" s="11"/>
    </row>
    <row r="354" spans="1:38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K354" s="11"/>
      <c r="AL354" s="11"/>
    </row>
    <row r="355" spans="1:38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K355" s="11"/>
      <c r="AL355" s="11"/>
    </row>
    <row r="356" spans="1:38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K356" s="11"/>
      <c r="AL356" s="11"/>
    </row>
    <row r="357" spans="1:38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K357" s="11"/>
      <c r="AL357" s="11"/>
    </row>
    <row r="358" spans="1:38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K358" s="11"/>
      <c r="AL358" s="11"/>
    </row>
    <row r="359" spans="1:38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K359" s="11"/>
      <c r="AL359" s="11"/>
    </row>
    <row r="360" spans="1:38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K360" s="11"/>
      <c r="AL360" s="11"/>
    </row>
    <row r="361" spans="1:38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K361" s="11"/>
      <c r="AL361" s="11"/>
    </row>
    <row r="362" spans="1:38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K362" s="11"/>
      <c r="AL362" s="11"/>
    </row>
    <row r="363" spans="1:38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K363" s="11"/>
      <c r="AL363" s="11"/>
    </row>
    <row r="364" spans="1:38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K364" s="11"/>
      <c r="AL364" s="11"/>
    </row>
    <row r="365" spans="1:38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K365" s="11"/>
      <c r="AL365" s="11"/>
    </row>
    <row r="366" spans="1:38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K366" s="11"/>
      <c r="AL366" s="11"/>
    </row>
    <row r="367" spans="1:38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K367" s="11"/>
      <c r="AL367" s="11"/>
    </row>
    <row r="368" spans="1:38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K368" s="11"/>
      <c r="AL368" s="11"/>
    </row>
    <row r="369" spans="1:38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K369" s="11"/>
      <c r="AL369" s="11"/>
    </row>
    <row r="370" spans="1:38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K370" s="11"/>
      <c r="AL370" s="11"/>
    </row>
    <row r="371" spans="1:38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K371" s="11"/>
      <c r="AL371" s="11"/>
    </row>
    <row r="372" spans="1:38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K372" s="11"/>
      <c r="AL372" s="11"/>
    </row>
  </sheetData>
  <sheetProtection algorithmName="SHA-512" hashValue="S95L2FWyz4ySpBhkZwButTwc18HLiyz34FM5T9D2tRm5NLTErfKiioebASCDqGElb4OeY7xIPl0cdof5qhHCfg==" saltValue="gRRZEa5+fWNXeqqGslAZvg==" spinCount="100000" sheet="1" objects="1" scenarios="1" formatCells="0" formatColumns="0" formatRows="0" insertRows="0" deleteColumns="0" deleteRows="0"/>
  <mergeCells count="396">
    <mergeCell ref="Y1:Z1"/>
    <mergeCell ref="Y2:Z2"/>
    <mergeCell ref="Y3:Z3"/>
    <mergeCell ref="AA3:AB3"/>
    <mergeCell ref="AA2:AB2"/>
    <mergeCell ref="AA1:AB1"/>
    <mergeCell ref="A7:H7"/>
    <mergeCell ref="I7:T7"/>
    <mergeCell ref="V7:X7"/>
    <mergeCell ref="Y7:AB7"/>
    <mergeCell ref="A5:H5"/>
    <mergeCell ref="I5:AB5"/>
    <mergeCell ref="A6:AB6"/>
    <mergeCell ref="A1:D3"/>
    <mergeCell ref="E1:X3"/>
    <mergeCell ref="I40:J40"/>
    <mergeCell ref="K40:L40"/>
    <mergeCell ref="M40:N40"/>
    <mergeCell ref="O40:P40"/>
    <mergeCell ref="Q40:R40"/>
    <mergeCell ref="S40:T40"/>
    <mergeCell ref="U40:V40"/>
    <mergeCell ref="W40:X40"/>
    <mergeCell ref="I41:J41"/>
    <mergeCell ref="K41:L41"/>
    <mergeCell ref="M41:N41"/>
    <mergeCell ref="O41:P41"/>
    <mergeCell ref="Q41:R41"/>
    <mergeCell ref="S41:T41"/>
    <mergeCell ref="U41:V41"/>
    <mergeCell ref="W41:X41"/>
    <mergeCell ref="I38:J38"/>
    <mergeCell ref="K38:L38"/>
    <mergeCell ref="M38:N38"/>
    <mergeCell ref="O38:P38"/>
    <mergeCell ref="Q38:R38"/>
    <mergeCell ref="S38:T38"/>
    <mergeCell ref="U38:V38"/>
    <mergeCell ref="W38:X38"/>
    <mergeCell ref="I39:J39"/>
    <mergeCell ref="K39:L39"/>
    <mergeCell ref="M39:N39"/>
    <mergeCell ref="O39:P39"/>
    <mergeCell ref="Q39:R39"/>
    <mergeCell ref="S39:T39"/>
    <mergeCell ref="U39:V39"/>
    <mergeCell ref="W39:X39"/>
    <mergeCell ref="I36:J36"/>
    <mergeCell ref="K36:L36"/>
    <mergeCell ref="M36:N36"/>
    <mergeCell ref="O36:P36"/>
    <mergeCell ref="Q36:R36"/>
    <mergeCell ref="S36:T36"/>
    <mergeCell ref="U36:V36"/>
    <mergeCell ref="W36:X36"/>
    <mergeCell ref="I37:J37"/>
    <mergeCell ref="K37:L37"/>
    <mergeCell ref="M37:N37"/>
    <mergeCell ref="O37:P37"/>
    <mergeCell ref="Q37:R37"/>
    <mergeCell ref="S37:T37"/>
    <mergeCell ref="U37:V37"/>
    <mergeCell ref="W37:X37"/>
    <mergeCell ref="I34:J34"/>
    <mergeCell ref="K34:L34"/>
    <mergeCell ref="M34:N34"/>
    <mergeCell ref="O34:P34"/>
    <mergeCell ref="Q34:R34"/>
    <mergeCell ref="S34:T34"/>
    <mergeCell ref="U34:V34"/>
    <mergeCell ref="W34:X34"/>
    <mergeCell ref="I35:J35"/>
    <mergeCell ref="K35:L35"/>
    <mergeCell ref="M35:N35"/>
    <mergeCell ref="O35:P35"/>
    <mergeCell ref="Q35:R35"/>
    <mergeCell ref="S35:T35"/>
    <mergeCell ref="U35:V35"/>
    <mergeCell ref="W35:X35"/>
    <mergeCell ref="I32:J32"/>
    <mergeCell ref="K32:L32"/>
    <mergeCell ref="M32:N32"/>
    <mergeCell ref="O32:P32"/>
    <mergeCell ref="Q32:R32"/>
    <mergeCell ref="S32:T32"/>
    <mergeCell ref="U32:V32"/>
    <mergeCell ref="W32:X32"/>
    <mergeCell ref="I33:J33"/>
    <mergeCell ref="K33:L33"/>
    <mergeCell ref="M33:N33"/>
    <mergeCell ref="O33:P33"/>
    <mergeCell ref="Q33:R33"/>
    <mergeCell ref="S33:T33"/>
    <mergeCell ref="U33:V33"/>
    <mergeCell ref="W33:X33"/>
    <mergeCell ref="I30:J30"/>
    <mergeCell ref="K30:L30"/>
    <mergeCell ref="M30:N30"/>
    <mergeCell ref="O30:P30"/>
    <mergeCell ref="Q30:R30"/>
    <mergeCell ref="S30:T30"/>
    <mergeCell ref="U30:V30"/>
    <mergeCell ref="W30:X30"/>
    <mergeCell ref="I31:J31"/>
    <mergeCell ref="K31:L31"/>
    <mergeCell ref="M31:N31"/>
    <mergeCell ref="O31:P31"/>
    <mergeCell ref="Q31:R31"/>
    <mergeCell ref="S31:T31"/>
    <mergeCell ref="U31:V31"/>
    <mergeCell ref="W31:X31"/>
    <mergeCell ref="I28:J28"/>
    <mergeCell ref="K28:L28"/>
    <mergeCell ref="M28:N28"/>
    <mergeCell ref="O28:P28"/>
    <mergeCell ref="Q28:R28"/>
    <mergeCell ref="S28:T28"/>
    <mergeCell ref="U28:V28"/>
    <mergeCell ref="W28:X28"/>
    <mergeCell ref="I29:J29"/>
    <mergeCell ref="K29:L29"/>
    <mergeCell ref="M29:N29"/>
    <mergeCell ref="O29:P29"/>
    <mergeCell ref="Q29:R29"/>
    <mergeCell ref="S29:T29"/>
    <mergeCell ref="U29:V29"/>
    <mergeCell ref="W29:X29"/>
    <mergeCell ref="I26:J26"/>
    <mergeCell ref="K26:L26"/>
    <mergeCell ref="M26:N26"/>
    <mergeCell ref="O26:P26"/>
    <mergeCell ref="Q26:R26"/>
    <mergeCell ref="S26:T26"/>
    <mergeCell ref="U26:V26"/>
    <mergeCell ref="W26:X26"/>
    <mergeCell ref="I27:J27"/>
    <mergeCell ref="K27:L27"/>
    <mergeCell ref="M27:N27"/>
    <mergeCell ref="O27:P27"/>
    <mergeCell ref="Q27:R27"/>
    <mergeCell ref="S27:T27"/>
    <mergeCell ref="U27:V27"/>
    <mergeCell ref="W27:X27"/>
    <mergeCell ref="I24:J24"/>
    <mergeCell ref="K24:L24"/>
    <mergeCell ref="M24:N24"/>
    <mergeCell ref="O24:P24"/>
    <mergeCell ref="Q24:R24"/>
    <mergeCell ref="S24:T24"/>
    <mergeCell ref="U24:V24"/>
    <mergeCell ref="W24:X24"/>
    <mergeCell ref="I25:J25"/>
    <mergeCell ref="K25:L25"/>
    <mergeCell ref="M25:N25"/>
    <mergeCell ref="O25:P25"/>
    <mergeCell ref="Q25:R25"/>
    <mergeCell ref="S25:T25"/>
    <mergeCell ref="U25:V25"/>
    <mergeCell ref="W25:X25"/>
    <mergeCell ref="I22:J22"/>
    <mergeCell ref="K22:L22"/>
    <mergeCell ref="M22:N22"/>
    <mergeCell ref="O22:P22"/>
    <mergeCell ref="Q22:R22"/>
    <mergeCell ref="S22:T22"/>
    <mergeCell ref="U22:V22"/>
    <mergeCell ref="W22:X22"/>
    <mergeCell ref="I23:J23"/>
    <mergeCell ref="K23:L23"/>
    <mergeCell ref="M23:N23"/>
    <mergeCell ref="O23:P23"/>
    <mergeCell ref="Q23:R23"/>
    <mergeCell ref="S23:T23"/>
    <mergeCell ref="U23:V23"/>
    <mergeCell ref="W23:X23"/>
    <mergeCell ref="I20:J20"/>
    <mergeCell ref="K20:L20"/>
    <mergeCell ref="M20:N20"/>
    <mergeCell ref="O20:P20"/>
    <mergeCell ref="Q20:R20"/>
    <mergeCell ref="S20:T20"/>
    <mergeCell ref="U20:V20"/>
    <mergeCell ref="W20:X20"/>
    <mergeCell ref="I21:J21"/>
    <mergeCell ref="K21:L21"/>
    <mergeCell ref="M21:N21"/>
    <mergeCell ref="O21:P21"/>
    <mergeCell ref="Q21:R21"/>
    <mergeCell ref="S21:T21"/>
    <mergeCell ref="U21:V21"/>
    <mergeCell ref="W21:X21"/>
    <mergeCell ref="I18:J18"/>
    <mergeCell ref="K18:L18"/>
    <mergeCell ref="M18:N18"/>
    <mergeCell ref="O18:P18"/>
    <mergeCell ref="Q18:R18"/>
    <mergeCell ref="S18:T18"/>
    <mergeCell ref="U18:V18"/>
    <mergeCell ref="W18:X18"/>
    <mergeCell ref="I19:J19"/>
    <mergeCell ref="K19:L19"/>
    <mergeCell ref="M19:N19"/>
    <mergeCell ref="O19:P19"/>
    <mergeCell ref="Q19:R19"/>
    <mergeCell ref="S19:T19"/>
    <mergeCell ref="U19:V19"/>
    <mergeCell ref="W19:X19"/>
    <mergeCell ref="I16:J16"/>
    <mergeCell ref="K16:L16"/>
    <mergeCell ref="M16:N16"/>
    <mergeCell ref="O16:P16"/>
    <mergeCell ref="Q16:R16"/>
    <mergeCell ref="S16:T16"/>
    <mergeCell ref="U16:V16"/>
    <mergeCell ref="W16:X16"/>
    <mergeCell ref="I17:J17"/>
    <mergeCell ref="K17:L17"/>
    <mergeCell ref="M17:N17"/>
    <mergeCell ref="O17:P17"/>
    <mergeCell ref="Q17:R17"/>
    <mergeCell ref="S17:T17"/>
    <mergeCell ref="U17:V17"/>
    <mergeCell ref="W17:X17"/>
    <mergeCell ref="I14:J14"/>
    <mergeCell ref="K14:L14"/>
    <mergeCell ref="M14:N14"/>
    <mergeCell ref="O14:P14"/>
    <mergeCell ref="Q14:R14"/>
    <mergeCell ref="S14:T14"/>
    <mergeCell ref="U14:V14"/>
    <mergeCell ref="W14:X14"/>
    <mergeCell ref="I15:J15"/>
    <mergeCell ref="K15:L15"/>
    <mergeCell ref="M15:N15"/>
    <mergeCell ref="O15:P15"/>
    <mergeCell ref="Q15:R15"/>
    <mergeCell ref="S15:T15"/>
    <mergeCell ref="U15:V15"/>
    <mergeCell ref="W15:X15"/>
    <mergeCell ref="K12:L12"/>
    <mergeCell ref="I12:J12"/>
    <mergeCell ref="M12:N12"/>
    <mergeCell ref="O12:P12"/>
    <mergeCell ref="Q12:R12"/>
    <mergeCell ref="S12:T12"/>
    <mergeCell ref="U12:V12"/>
    <mergeCell ref="W12:X12"/>
    <mergeCell ref="I13:J13"/>
    <mergeCell ref="K13:L13"/>
    <mergeCell ref="M13:N13"/>
    <mergeCell ref="O13:P13"/>
    <mergeCell ref="Q13:R13"/>
    <mergeCell ref="S13:T13"/>
    <mergeCell ref="U13:V13"/>
    <mergeCell ref="W13:X13"/>
    <mergeCell ref="E9:H10"/>
    <mergeCell ref="E11:F11"/>
    <mergeCell ref="G11:H11"/>
    <mergeCell ref="I9:L10"/>
    <mergeCell ref="M9:P10"/>
    <mergeCell ref="U9:X10"/>
    <mergeCell ref="D9:D11"/>
    <mergeCell ref="A9:C10"/>
    <mergeCell ref="A11:C11"/>
    <mergeCell ref="K11:L11"/>
    <mergeCell ref="I11:J11"/>
    <mergeCell ref="O11:P11"/>
    <mergeCell ref="M11:N11"/>
    <mergeCell ref="S11:T11"/>
    <mergeCell ref="Q11:R11"/>
    <mergeCell ref="W11:X11"/>
    <mergeCell ref="U11:V11"/>
    <mergeCell ref="Q9:T10"/>
    <mergeCell ref="A39:C39"/>
    <mergeCell ref="A40:C40"/>
    <mergeCell ref="A41:C41"/>
    <mergeCell ref="A30:C30"/>
    <mergeCell ref="A31:C31"/>
    <mergeCell ref="A32:C32"/>
    <mergeCell ref="A33:C33"/>
    <mergeCell ref="A34:C34"/>
    <mergeCell ref="A35:C35"/>
    <mergeCell ref="A36:C36"/>
    <mergeCell ref="A37:C37"/>
    <mergeCell ref="A38:C38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Y39:AB39"/>
    <mergeCell ref="Y40:AB40"/>
    <mergeCell ref="Y41:AB41"/>
    <mergeCell ref="Y30:AB30"/>
    <mergeCell ref="Y31:AB31"/>
    <mergeCell ref="Y32:AB32"/>
    <mergeCell ref="Y33:AB33"/>
    <mergeCell ref="Y34:AB34"/>
    <mergeCell ref="Y35:AB35"/>
    <mergeCell ref="Y36:AB36"/>
    <mergeCell ref="Y37:AB37"/>
    <mergeCell ref="Y38:AB38"/>
    <mergeCell ref="Y21:AB21"/>
    <mergeCell ref="Y22:AB22"/>
    <mergeCell ref="Y23:AB23"/>
    <mergeCell ref="Y24:AB24"/>
    <mergeCell ref="Y25:AB25"/>
    <mergeCell ref="Y26:AB26"/>
    <mergeCell ref="Y27:AB27"/>
    <mergeCell ref="Y28:AB28"/>
    <mergeCell ref="Y29:AB29"/>
    <mergeCell ref="Y12:AB12"/>
    <mergeCell ref="Y13:AB13"/>
    <mergeCell ref="Y14:AB14"/>
    <mergeCell ref="Y15:AB15"/>
    <mergeCell ref="Y16:AB16"/>
    <mergeCell ref="Y17:AB17"/>
    <mergeCell ref="Y18:AB18"/>
    <mergeCell ref="Y19:AB19"/>
    <mergeCell ref="Y20:AB20"/>
    <mergeCell ref="E37:F37"/>
    <mergeCell ref="G37:H37"/>
    <mergeCell ref="E34:F34"/>
    <mergeCell ref="E38:F38"/>
    <mergeCell ref="G38:H38"/>
    <mergeCell ref="E39:F39"/>
    <mergeCell ref="G39:H39"/>
    <mergeCell ref="G32:H32"/>
    <mergeCell ref="G34:H34"/>
    <mergeCell ref="E35:F35"/>
    <mergeCell ref="E33:F33"/>
    <mergeCell ref="G33:H33"/>
    <mergeCell ref="G35:H35"/>
    <mergeCell ref="E36:F36"/>
    <mergeCell ref="G36:H36"/>
    <mergeCell ref="A8:AB8"/>
    <mergeCell ref="A4:AB4"/>
    <mergeCell ref="Y9:AB11"/>
    <mergeCell ref="G12:H12"/>
    <mergeCell ref="E12:F12"/>
    <mergeCell ref="E25:F25"/>
    <mergeCell ref="G25:H25"/>
    <mergeCell ref="E32:F32"/>
    <mergeCell ref="E14:F14"/>
    <mergeCell ref="G14:H14"/>
    <mergeCell ref="E17:F17"/>
    <mergeCell ref="G17:H17"/>
    <mergeCell ref="E18:F18"/>
    <mergeCell ref="G18:H18"/>
    <mergeCell ref="E26:F26"/>
    <mergeCell ref="G26:H26"/>
    <mergeCell ref="E29:F29"/>
    <mergeCell ref="E27:F27"/>
    <mergeCell ref="G27:H27"/>
    <mergeCell ref="E28:F28"/>
    <mergeCell ref="G29:H29"/>
    <mergeCell ref="E30:F30"/>
    <mergeCell ref="G30:H30"/>
    <mergeCell ref="G28:H28"/>
    <mergeCell ref="E40:F40"/>
    <mergeCell ref="G40:H40"/>
    <mergeCell ref="E41:F41"/>
    <mergeCell ref="G41:H41"/>
    <mergeCell ref="E13:F13"/>
    <mergeCell ref="G13:H13"/>
    <mergeCell ref="E15:F15"/>
    <mergeCell ref="G15:H15"/>
    <mergeCell ref="E16:F16"/>
    <mergeCell ref="G16:H16"/>
    <mergeCell ref="E22:F22"/>
    <mergeCell ref="G22:H22"/>
    <mergeCell ref="G20:H20"/>
    <mergeCell ref="E21:F21"/>
    <mergeCell ref="G21:H21"/>
    <mergeCell ref="E23:F23"/>
    <mergeCell ref="G23:H23"/>
    <mergeCell ref="E24:F24"/>
    <mergeCell ref="G24:H24"/>
    <mergeCell ref="E31:F31"/>
    <mergeCell ref="G31:H31"/>
    <mergeCell ref="E19:F19"/>
    <mergeCell ref="G19:H19"/>
    <mergeCell ref="E20:F20"/>
  </mergeCells>
  <dataValidations count="1">
    <dataValidation type="list" allowBlank="1" showInputMessage="1" showErrorMessage="1" sqref="Y7:AB7" xr:uid="{843B6A81-03FB-4642-857C-A3477998529A}">
      <formula1>$AM$2:$AM$3</formula1>
    </dataValidation>
  </dataValidations>
  <printOptions horizontalCentered="1"/>
  <pageMargins left="0.19685039370078741" right="0.19685039370078741" top="0.19685039370078741" bottom="0.39370078740157483" header="0.31496062992125984" footer="0.31496062992125984"/>
  <pageSetup scale="89" orientation="landscape" r:id="rId1"/>
  <headerFooter>
    <oddFooter>&amp;R&amp;"Arial Narrow,Normal"&amp;9Página: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icture r:id="rId3"/>
  </sheetPr>
  <dimension ref="A1:AX46"/>
  <sheetViews>
    <sheetView view="pageBreakPreview" zoomScaleNormal="100" zoomScaleSheetLayoutView="100" workbookViewId="0">
      <selection activeCell="A12" sqref="A12:C12"/>
    </sheetView>
  </sheetViews>
  <sheetFormatPr baseColWidth="10" defaultColWidth="11.42578125" defaultRowHeight="15.75" x14ac:dyDescent="0.25"/>
  <cols>
    <col min="1" max="3" width="3.7109375" style="6" customWidth="1" collapsed="1"/>
    <col min="4" max="4" width="12.140625" style="6" customWidth="1"/>
    <col min="5" max="12" width="3.7109375" style="6" customWidth="1" collapsed="1"/>
    <col min="13" max="16" width="4.7109375" style="6" customWidth="1" collapsed="1"/>
    <col min="17" max="20" width="4.28515625" style="6" customWidth="1" collapsed="1"/>
    <col min="21" max="24" width="3.28515625" style="6" customWidth="1" collapsed="1"/>
    <col min="25" max="28" width="3.7109375" style="6" customWidth="1" collapsed="1"/>
    <col min="29" max="29" width="3.28515625" style="6" customWidth="1" collapsed="1"/>
    <col min="30" max="30" width="4.28515625" style="6" customWidth="1" collapsed="1"/>
    <col min="31" max="31" width="3.28515625" style="6" customWidth="1" collapsed="1"/>
    <col min="32" max="33" width="4.7109375" style="6" customWidth="1" collapsed="1"/>
    <col min="34" max="34" width="6.28515625" style="6" customWidth="1" collapsed="1"/>
    <col min="35" max="35" width="4" style="6" customWidth="1" collapsed="1"/>
    <col min="36" max="37" width="11.42578125" style="6" collapsed="1"/>
    <col min="38" max="40" width="11.42578125" style="6"/>
    <col min="41" max="41" width="11.28515625" style="6" customWidth="1" collapsed="1"/>
    <col min="42" max="45" width="9" style="11" hidden="1" customWidth="1" collapsed="1"/>
    <col min="46" max="49" width="11.42578125" style="11" collapsed="1"/>
    <col min="50" max="50" width="11.42578125" style="6"/>
    <col min="51" max="16384" width="11.42578125" style="6" collapsed="1"/>
  </cols>
  <sheetData>
    <row r="1" spans="1:49" ht="18" customHeight="1" x14ac:dyDescent="0.25">
      <c r="A1" s="48"/>
      <c r="B1" s="48"/>
      <c r="C1" s="48"/>
      <c r="D1" s="48"/>
      <c r="E1" s="49" t="s">
        <v>33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50" t="s">
        <v>3</v>
      </c>
      <c r="AG1" s="50"/>
      <c r="AH1" s="50" t="s">
        <v>258</v>
      </c>
      <c r="AI1" s="50"/>
      <c r="AP1" s="14">
        <f ca="1">+TODAY()</f>
        <v>45434</v>
      </c>
      <c r="AQ1" s="14">
        <f ca="1">+AP1+60</f>
        <v>45494</v>
      </c>
      <c r="AR1" s="14">
        <f ca="1">+AP1+120</f>
        <v>45554</v>
      </c>
      <c r="AS1" s="14">
        <f ca="1">+AP1+150</f>
        <v>45584</v>
      </c>
    </row>
    <row r="2" spans="1:49" ht="18" customHeight="1" x14ac:dyDescent="0.25">
      <c r="A2" s="48"/>
      <c r="B2" s="48"/>
      <c r="C2" s="48"/>
      <c r="D2" s="48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 t="s">
        <v>1</v>
      </c>
      <c r="AG2" s="50"/>
      <c r="AH2" s="207">
        <v>5</v>
      </c>
      <c r="AI2" s="207"/>
    </row>
    <row r="3" spans="1:49" ht="18" customHeight="1" x14ac:dyDescent="0.25">
      <c r="A3" s="48"/>
      <c r="B3" s="48"/>
      <c r="C3" s="48"/>
      <c r="D3" s="48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50" t="s">
        <v>2</v>
      </c>
      <c r="AG3" s="50"/>
      <c r="AH3" s="208">
        <v>45434</v>
      </c>
      <c r="AI3" s="208"/>
    </row>
    <row r="4" spans="1:49" s="7" customFormat="1" ht="5.0999999999999996" customHeight="1" x14ac:dyDescent="0.25">
      <c r="A4" s="15"/>
      <c r="B4" s="15"/>
      <c r="C4" s="15"/>
      <c r="D4" s="15"/>
      <c r="E4" s="15"/>
      <c r="AP4" s="8"/>
      <c r="AQ4" s="8"/>
      <c r="AR4" s="8"/>
      <c r="AS4" s="8"/>
      <c r="AT4" s="8"/>
      <c r="AU4" s="8"/>
      <c r="AV4" s="8"/>
      <c r="AW4" s="8"/>
    </row>
    <row r="5" spans="1:49" s="7" customFormat="1" ht="18" customHeight="1" x14ac:dyDescent="0.25">
      <c r="A5" s="125" t="s">
        <v>228</v>
      </c>
      <c r="B5" s="125"/>
      <c r="C5" s="125"/>
      <c r="D5" s="125"/>
      <c r="E5" s="125"/>
      <c r="F5" s="125"/>
      <c r="G5" s="125"/>
      <c r="H5" s="125"/>
      <c r="I5" s="125"/>
      <c r="J5" s="126">
        <f>+Registro!$K$5</f>
        <v>0</v>
      </c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7"/>
      <c r="AP5" s="8"/>
      <c r="AQ5" s="8"/>
      <c r="AR5" s="8"/>
      <c r="AS5" s="8"/>
      <c r="AT5" s="8"/>
      <c r="AU5" s="8"/>
      <c r="AV5" s="8"/>
      <c r="AW5" s="8"/>
    </row>
    <row r="6" spans="1:49" s="7" customFormat="1" ht="3.75" customHeight="1" x14ac:dyDescent="0.25">
      <c r="A6" s="128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30"/>
      <c r="AP6" s="8"/>
      <c r="AQ6" s="8"/>
      <c r="AR6" s="8"/>
      <c r="AS6" s="8"/>
      <c r="AT6" s="8"/>
      <c r="AU6" s="8"/>
      <c r="AV6" s="8"/>
      <c r="AW6" s="8"/>
    </row>
    <row r="7" spans="1:49" s="7" customFormat="1" ht="18" customHeight="1" x14ac:dyDescent="0.25">
      <c r="A7" s="125" t="s">
        <v>233</v>
      </c>
      <c r="B7" s="125"/>
      <c r="C7" s="125"/>
      <c r="D7" s="125"/>
      <c r="E7" s="125"/>
      <c r="F7" s="125"/>
      <c r="G7" s="125"/>
      <c r="H7" s="125"/>
      <c r="I7" s="125"/>
      <c r="J7" s="94" t="s">
        <v>30</v>
      </c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6"/>
      <c r="X7" s="131" t="s">
        <v>38</v>
      </c>
      <c r="Y7" s="131"/>
      <c r="Z7" s="131"/>
      <c r="AA7" s="131"/>
      <c r="AB7" s="132" t="s">
        <v>246</v>
      </c>
      <c r="AC7" s="132"/>
      <c r="AD7" s="132"/>
      <c r="AE7" s="132"/>
      <c r="AF7" s="132"/>
      <c r="AG7" s="132"/>
      <c r="AH7" s="132"/>
      <c r="AI7" s="132"/>
      <c r="AP7" s="8"/>
      <c r="AQ7" s="8"/>
      <c r="AR7" s="8"/>
      <c r="AS7" s="8"/>
      <c r="AT7" s="8"/>
      <c r="AU7" s="8"/>
      <c r="AV7" s="8"/>
      <c r="AW7" s="8"/>
    </row>
    <row r="8" spans="1:49" s="7" customFormat="1" ht="5.0999999999999996" customHeight="1" x14ac:dyDescent="0.25">
      <c r="A8" s="10"/>
      <c r="B8" s="10"/>
      <c r="C8" s="10"/>
      <c r="D8" s="10"/>
      <c r="E8" s="10"/>
      <c r="F8" s="10"/>
      <c r="G8" s="10"/>
      <c r="H8" s="10"/>
      <c r="I8" s="9"/>
      <c r="J8" s="9"/>
      <c r="K8" s="9"/>
      <c r="L8" s="12"/>
      <c r="M8" s="12"/>
      <c r="N8" s="12"/>
      <c r="O8" s="12"/>
      <c r="P8" s="13"/>
      <c r="Q8" s="3"/>
      <c r="R8" s="3"/>
      <c r="S8" s="3"/>
      <c r="T8" s="4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8"/>
      <c r="AP8" s="8"/>
      <c r="AQ8" s="8"/>
      <c r="AR8" s="8"/>
      <c r="AS8" s="8"/>
      <c r="AT8" s="8"/>
      <c r="AU8" s="8"/>
      <c r="AV8" s="8"/>
      <c r="AW8" s="8"/>
    </row>
    <row r="9" spans="1:49" s="7" customFormat="1" ht="15.75" customHeight="1" x14ac:dyDescent="0.25">
      <c r="A9" s="133" t="s">
        <v>42</v>
      </c>
      <c r="B9" s="133"/>
      <c r="C9" s="133"/>
      <c r="D9" s="134" t="s">
        <v>235</v>
      </c>
      <c r="E9" s="116" t="s">
        <v>47</v>
      </c>
      <c r="F9" s="117"/>
      <c r="G9" s="117"/>
      <c r="H9" s="118"/>
      <c r="I9" s="116" t="s">
        <v>48</v>
      </c>
      <c r="J9" s="117"/>
      <c r="K9" s="117"/>
      <c r="L9" s="118"/>
      <c r="M9" s="116" t="s">
        <v>43</v>
      </c>
      <c r="N9" s="117"/>
      <c r="O9" s="117"/>
      <c r="P9" s="118"/>
      <c r="Q9" s="133" t="s">
        <v>9</v>
      </c>
      <c r="R9" s="133"/>
      <c r="S9" s="133"/>
      <c r="T9" s="133"/>
      <c r="U9" s="133" t="s">
        <v>44</v>
      </c>
      <c r="V9" s="133"/>
      <c r="W9" s="133"/>
      <c r="X9" s="133"/>
      <c r="Y9" s="116" t="s">
        <v>49</v>
      </c>
      <c r="Z9" s="117"/>
      <c r="AA9" s="117"/>
      <c r="AB9" s="118"/>
      <c r="AC9" s="137" t="s">
        <v>34</v>
      </c>
      <c r="AD9" s="138"/>
      <c r="AE9" s="139"/>
      <c r="AF9" s="116" t="s">
        <v>0</v>
      </c>
      <c r="AG9" s="117"/>
      <c r="AH9" s="117"/>
      <c r="AI9" s="118"/>
      <c r="AP9" s="8"/>
      <c r="AQ9" s="8"/>
      <c r="AR9" s="8"/>
      <c r="AS9" s="8"/>
      <c r="AT9" s="8"/>
      <c r="AU9" s="8"/>
      <c r="AV9" s="8"/>
      <c r="AW9" s="8"/>
    </row>
    <row r="10" spans="1:49" s="7" customFormat="1" ht="43.5" customHeight="1" x14ac:dyDescent="0.25">
      <c r="A10" s="133"/>
      <c r="B10" s="133"/>
      <c r="C10" s="133"/>
      <c r="D10" s="135"/>
      <c r="E10" s="122"/>
      <c r="F10" s="123"/>
      <c r="G10" s="123"/>
      <c r="H10" s="124"/>
      <c r="I10" s="122"/>
      <c r="J10" s="123"/>
      <c r="K10" s="123"/>
      <c r="L10" s="124"/>
      <c r="M10" s="122"/>
      <c r="N10" s="123"/>
      <c r="O10" s="123"/>
      <c r="P10" s="124"/>
      <c r="Q10" s="133"/>
      <c r="R10" s="133"/>
      <c r="S10" s="133"/>
      <c r="T10" s="133"/>
      <c r="U10" s="133"/>
      <c r="V10" s="133"/>
      <c r="W10" s="133"/>
      <c r="X10" s="133"/>
      <c r="Y10" s="122"/>
      <c r="Z10" s="123"/>
      <c r="AA10" s="123"/>
      <c r="AB10" s="124"/>
      <c r="AC10" s="140"/>
      <c r="AD10" s="141"/>
      <c r="AE10" s="142"/>
      <c r="AF10" s="119"/>
      <c r="AG10" s="120"/>
      <c r="AH10" s="120"/>
      <c r="AI10" s="121"/>
      <c r="AQ10" s="8"/>
      <c r="AR10" s="8"/>
      <c r="AS10" s="8"/>
      <c r="AT10" s="8"/>
      <c r="AU10" s="8"/>
      <c r="AV10" s="8"/>
      <c r="AW10" s="8"/>
    </row>
    <row r="11" spans="1:49" s="7" customFormat="1" ht="18" customHeight="1" x14ac:dyDescent="0.25">
      <c r="A11" s="82" t="s">
        <v>236</v>
      </c>
      <c r="B11" s="83"/>
      <c r="C11" s="84"/>
      <c r="D11" s="136"/>
      <c r="E11" s="85" t="s">
        <v>26</v>
      </c>
      <c r="F11" s="86"/>
      <c r="G11" s="85" t="s">
        <v>27</v>
      </c>
      <c r="H11" s="86"/>
      <c r="I11" s="77" t="s">
        <v>26</v>
      </c>
      <c r="J11" s="77"/>
      <c r="K11" s="77" t="s">
        <v>27</v>
      </c>
      <c r="L11" s="77"/>
      <c r="M11" s="85" t="s">
        <v>5</v>
      </c>
      <c r="N11" s="86"/>
      <c r="O11" s="85" t="s">
        <v>6</v>
      </c>
      <c r="P11" s="86"/>
      <c r="Q11" s="85" t="s">
        <v>5</v>
      </c>
      <c r="R11" s="86"/>
      <c r="S11" s="85" t="s">
        <v>6</v>
      </c>
      <c r="T11" s="86"/>
      <c r="U11" s="87" t="s">
        <v>5</v>
      </c>
      <c r="V11" s="88"/>
      <c r="W11" s="87" t="s">
        <v>6</v>
      </c>
      <c r="X11" s="88"/>
      <c r="Y11" s="87" t="s">
        <v>5</v>
      </c>
      <c r="Z11" s="88"/>
      <c r="AA11" s="87" t="s">
        <v>6</v>
      </c>
      <c r="AB11" s="88"/>
      <c r="AC11" s="82" t="s">
        <v>236</v>
      </c>
      <c r="AD11" s="83"/>
      <c r="AE11" s="84"/>
      <c r="AF11" s="122"/>
      <c r="AG11" s="123"/>
      <c r="AH11" s="123"/>
      <c r="AI11" s="124"/>
      <c r="AR11" s="8"/>
      <c r="AS11" s="8"/>
      <c r="AT11" s="8"/>
      <c r="AU11" s="8"/>
      <c r="AV11" s="8"/>
      <c r="AW11" s="8"/>
    </row>
    <row r="12" spans="1:49" s="7" customFormat="1" ht="30" customHeight="1" x14ac:dyDescent="0.25">
      <c r="A12" s="73"/>
      <c r="B12" s="74"/>
      <c r="C12" s="75"/>
      <c r="D12" s="2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89"/>
      <c r="Z12" s="90"/>
      <c r="AA12" s="89"/>
      <c r="AB12" s="90"/>
      <c r="AC12" s="73"/>
      <c r="AD12" s="74"/>
      <c r="AE12" s="75"/>
      <c r="AF12" s="89"/>
      <c r="AG12" s="115"/>
      <c r="AH12" s="115"/>
      <c r="AI12" s="90"/>
      <c r="AP12" s="8"/>
      <c r="AQ12" s="8"/>
      <c r="AR12" s="8"/>
      <c r="AS12" s="8"/>
      <c r="AT12" s="8"/>
      <c r="AU12" s="8"/>
      <c r="AV12" s="8"/>
      <c r="AW12" s="8"/>
    </row>
    <row r="13" spans="1:49" s="7" customFormat="1" ht="30" customHeight="1" x14ac:dyDescent="0.25">
      <c r="A13" s="73"/>
      <c r="B13" s="74"/>
      <c r="C13" s="75"/>
      <c r="D13" s="28"/>
      <c r="E13" s="58"/>
      <c r="F13" s="58"/>
      <c r="G13" s="58"/>
      <c r="H13" s="58"/>
      <c r="I13" s="89"/>
      <c r="J13" s="90"/>
      <c r="K13" s="89"/>
      <c r="L13" s="90"/>
      <c r="M13" s="89"/>
      <c r="N13" s="90"/>
      <c r="O13" s="89"/>
      <c r="P13" s="90"/>
      <c r="Q13" s="89"/>
      <c r="R13" s="90"/>
      <c r="S13" s="89"/>
      <c r="T13" s="90"/>
      <c r="U13" s="89"/>
      <c r="V13" s="90"/>
      <c r="W13" s="89"/>
      <c r="X13" s="90"/>
      <c r="Y13" s="89"/>
      <c r="Z13" s="90"/>
      <c r="AA13" s="89"/>
      <c r="AB13" s="90"/>
      <c r="AC13" s="73"/>
      <c r="AD13" s="74"/>
      <c r="AE13" s="75"/>
      <c r="AF13" s="89"/>
      <c r="AG13" s="115"/>
      <c r="AH13" s="115"/>
      <c r="AI13" s="90"/>
      <c r="AP13" s="8"/>
      <c r="AQ13" s="8"/>
      <c r="AR13" s="8"/>
      <c r="AS13" s="8"/>
      <c r="AT13" s="8"/>
      <c r="AU13" s="8"/>
      <c r="AV13" s="8"/>
      <c r="AW13" s="8"/>
    </row>
    <row r="14" spans="1:49" s="7" customFormat="1" ht="30" customHeight="1" x14ac:dyDescent="0.25">
      <c r="A14" s="73"/>
      <c r="B14" s="74"/>
      <c r="C14" s="75"/>
      <c r="D14" s="37"/>
      <c r="E14" s="58"/>
      <c r="F14" s="58"/>
      <c r="G14" s="58"/>
      <c r="H14" s="58"/>
      <c r="I14" s="89"/>
      <c r="J14" s="90"/>
      <c r="K14" s="89"/>
      <c r="L14" s="90"/>
      <c r="M14" s="89"/>
      <c r="N14" s="90"/>
      <c r="O14" s="89"/>
      <c r="P14" s="90"/>
      <c r="Q14" s="89"/>
      <c r="R14" s="90"/>
      <c r="S14" s="89"/>
      <c r="T14" s="90"/>
      <c r="U14" s="89"/>
      <c r="V14" s="90"/>
      <c r="W14" s="89"/>
      <c r="X14" s="90"/>
      <c r="Y14" s="89"/>
      <c r="Z14" s="90"/>
      <c r="AA14" s="89"/>
      <c r="AB14" s="90"/>
      <c r="AC14" s="73"/>
      <c r="AD14" s="74"/>
      <c r="AE14" s="75"/>
      <c r="AF14" s="89"/>
      <c r="AG14" s="115"/>
      <c r="AH14" s="115"/>
      <c r="AI14" s="90"/>
      <c r="AP14" s="8"/>
      <c r="AQ14" s="8"/>
      <c r="AR14" s="8"/>
      <c r="AS14" s="8"/>
      <c r="AT14" s="8"/>
      <c r="AU14" s="8"/>
      <c r="AV14" s="8"/>
      <c r="AW14" s="8"/>
    </row>
    <row r="15" spans="1:49" s="7" customFormat="1" ht="30" customHeight="1" x14ac:dyDescent="0.25">
      <c r="A15" s="73"/>
      <c r="B15" s="74"/>
      <c r="C15" s="75"/>
      <c r="D15" s="37"/>
      <c r="E15" s="58"/>
      <c r="F15" s="58"/>
      <c r="G15" s="58"/>
      <c r="H15" s="58"/>
      <c r="I15" s="89"/>
      <c r="J15" s="90"/>
      <c r="K15" s="89"/>
      <c r="L15" s="90"/>
      <c r="M15" s="89"/>
      <c r="N15" s="90"/>
      <c r="O15" s="89"/>
      <c r="P15" s="90"/>
      <c r="Q15" s="89"/>
      <c r="R15" s="90"/>
      <c r="S15" s="89"/>
      <c r="T15" s="90"/>
      <c r="U15" s="89"/>
      <c r="V15" s="90"/>
      <c r="W15" s="89"/>
      <c r="X15" s="90"/>
      <c r="Y15" s="89"/>
      <c r="Z15" s="90"/>
      <c r="AA15" s="89"/>
      <c r="AB15" s="90"/>
      <c r="AC15" s="73"/>
      <c r="AD15" s="74"/>
      <c r="AE15" s="75"/>
      <c r="AF15" s="89"/>
      <c r="AG15" s="115"/>
      <c r="AH15" s="115"/>
      <c r="AI15" s="90"/>
      <c r="AP15" s="8"/>
      <c r="AQ15" s="8"/>
      <c r="AR15" s="8"/>
      <c r="AS15" s="8"/>
      <c r="AT15" s="8"/>
      <c r="AU15" s="8"/>
      <c r="AV15" s="8"/>
      <c r="AW15" s="8"/>
    </row>
    <row r="16" spans="1:49" s="7" customFormat="1" ht="30" customHeight="1" x14ac:dyDescent="0.25">
      <c r="A16" s="73"/>
      <c r="B16" s="74"/>
      <c r="C16" s="75"/>
      <c r="D16" s="37"/>
      <c r="E16" s="58"/>
      <c r="F16" s="58"/>
      <c r="G16" s="58"/>
      <c r="H16" s="58"/>
      <c r="I16" s="89"/>
      <c r="J16" s="90"/>
      <c r="K16" s="89"/>
      <c r="L16" s="90"/>
      <c r="M16" s="89"/>
      <c r="N16" s="90"/>
      <c r="O16" s="89"/>
      <c r="P16" s="90"/>
      <c r="Q16" s="89"/>
      <c r="R16" s="90"/>
      <c r="S16" s="89"/>
      <c r="T16" s="90"/>
      <c r="U16" s="89"/>
      <c r="V16" s="90"/>
      <c r="W16" s="89"/>
      <c r="X16" s="90"/>
      <c r="Y16" s="89"/>
      <c r="Z16" s="90"/>
      <c r="AA16" s="89"/>
      <c r="AB16" s="90"/>
      <c r="AC16" s="73"/>
      <c r="AD16" s="74"/>
      <c r="AE16" s="75"/>
      <c r="AF16" s="89"/>
      <c r="AG16" s="115"/>
      <c r="AH16" s="115"/>
      <c r="AI16" s="90"/>
      <c r="AP16" s="8"/>
      <c r="AQ16" s="8"/>
      <c r="AR16" s="8"/>
      <c r="AS16" s="8"/>
      <c r="AT16" s="8"/>
      <c r="AU16" s="8"/>
      <c r="AV16" s="8"/>
      <c r="AW16" s="8"/>
    </row>
    <row r="17" spans="1:49" s="7" customFormat="1" ht="30" customHeight="1" x14ac:dyDescent="0.25">
      <c r="A17" s="73"/>
      <c r="B17" s="74"/>
      <c r="C17" s="75"/>
      <c r="D17" s="37"/>
      <c r="E17" s="58"/>
      <c r="F17" s="58"/>
      <c r="G17" s="58"/>
      <c r="H17" s="58"/>
      <c r="I17" s="89"/>
      <c r="J17" s="90"/>
      <c r="K17" s="89"/>
      <c r="L17" s="90"/>
      <c r="M17" s="89"/>
      <c r="N17" s="90"/>
      <c r="O17" s="89"/>
      <c r="P17" s="90"/>
      <c r="Q17" s="89"/>
      <c r="R17" s="90"/>
      <c r="S17" s="89"/>
      <c r="T17" s="90"/>
      <c r="U17" s="89"/>
      <c r="V17" s="90"/>
      <c r="W17" s="89"/>
      <c r="X17" s="90"/>
      <c r="Y17" s="89"/>
      <c r="Z17" s="90"/>
      <c r="AA17" s="89"/>
      <c r="AB17" s="90"/>
      <c r="AC17" s="73"/>
      <c r="AD17" s="74"/>
      <c r="AE17" s="75"/>
      <c r="AF17" s="89"/>
      <c r="AG17" s="115"/>
      <c r="AH17" s="115"/>
      <c r="AI17" s="90"/>
      <c r="AP17" s="8"/>
      <c r="AQ17" s="8"/>
      <c r="AR17" s="8"/>
      <c r="AS17" s="8"/>
      <c r="AT17" s="8"/>
      <c r="AU17" s="8"/>
      <c r="AV17" s="8"/>
      <c r="AW17" s="8"/>
    </row>
    <row r="18" spans="1:49" s="7" customFormat="1" ht="30" customHeight="1" x14ac:dyDescent="0.25">
      <c r="A18" s="73"/>
      <c r="B18" s="74"/>
      <c r="C18" s="75"/>
      <c r="D18" s="37"/>
      <c r="E18" s="58"/>
      <c r="F18" s="58"/>
      <c r="G18" s="58"/>
      <c r="H18" s="58"/>
      <c r="I18" s="89"/>
      <c r="J18" s="90"/>
      <c r="K18" s="89"/>
      <c r="L18" s="90"/>
      <c r="M18" s="89"/>
      <c r="N18" s="90"/>
      <c r="O18" s="89"/>
      <c r="P18" s="90"/>
      <c r="Q18" s="89"/>
      <c r="R18" s="90"/>
      <c r="S18" s="89"/>
      <c r="T18" s="90"/>
      <c r="U18" s="89"/>
      <c r="V18" s="90"/>
      <c r="W18" s="89"/>
      <c r="X18" s="90"/>
      <c r="Y18" s="89"/>
      <c r="Z18" s="90"/>
      <c r="AA18" s="89"/>
      <c r="AB18" s="90"/>
      <c r="AC18" s="73"/>
      <c r="AD18" s="74"/>
      <c r="AE18" s="75"/>
      <c r="AF18" s="89"/>
      <c r="AG18" s="115"/>
      <c r="AH18" s="115"/>
      <c r="AI18" s="90"/>
      <c r="AP18" s="8"/>
      <c r="AQ18" s="8"/>
      <c r="AR18" s="8"/>
      <c r="AS18" s="8"/>
      <c r="AT18" s="8"/>
      <c r="AU18" s="8"/>
      <c r="AV18" s="8"/>
      <c r="AW18" s="8"/>
    </row>
    <row r="19" spans="1:49" s="7" customFormat="1" ht="30" customHeight="1" x14ac:dyDescent="0.25">
      <c r="A19" s="73"/>
      <c r="B19" s="74"/>
      <c r="C19" s="75"/>
      <c r="D19" s="37"/>
      <c r="E19" s="58"/>
      <c r="F19" s="58"/>
      <c r="G19" s="58"/>
      <c r="H19" s="58"/>
      <c r="I19" s="89"/>
      <c r="J19" s="90"/>
      <c r="K19" s="89"/>
      <c r="L19" s="90"/>
      <c r="M19" s="89"/>
      <c r="N19" s="90"/>
      <c r="O19" s="89"/>
      <c r="P19" s="90"/>
      <c r="Q19" s="89"/>
      <c r="R19" s="90"/>
      <c r="S19" s="89"/>
      <c r="T19" s="90"/>
      <c r="U19" s="89"/>
      <c r="V19" s="90"/>
      <c r="W19" s="89"/>
      <c r="X19" s="90"/>
      <c r="Y19" s="89"/>
      <c r="Z19" s="90"/>
      <c r="AA19" s="89"/>
      <c r="AB19" s="90"/>
      <c r="AC19" s="73"/>
      <c r="AD19" s="74"/>
      <c r="AE19" s="75"/>
      <c r="AF19" s="89"/>
      <c r="AG19" s="115"/>
      <c r="AH19" s="115"/>
      <c r="AI19" s="90"/>
      <c r="AP19" s="8"/>
      <c r="AQ19" s="8"/>
      <c r="AR19" s="8"/>
      <c r="AS19" s="8"/>
      <c r="AT19" s="8"/>
      <c r="AU19" s="8"/>
      <c r="AV19" s="8"/>
      <c r="AW19" s="8"/>
    </row>
    <row r="20" spans="1:49" s="7" customFormat="1" ht="30" customHeight="1" x14ac:dyDescent="0.25">
      <c r="A20" s="73"/>
      <c r="B20" s="74"/>
      <c r="C20" s="75"/>
      <c r="D20" s="37"/>
      <c r="E20" s="58"/>
      <c r="F20" s="58"/>
      <c r="G20" s="58"/>
      <c r="H20" s="58"/>
      <c r="I20" s="89"/>
      <c r="J20" s="90"/>
      <c r="K20" s="89"/>
      <c r="L20" s="90"/>
      <c r="M20" s="89"/>
      <c r="N20" s="90"/>
      <c r="O20" s="89"/>
      <c r="P20" s="90"/>
      <c r="Q20" s="89"/>
      <c r="R20" s="90"/>
      <c r="S20" s="89"/>
      <c r="T20" s="90"/>
      <c r="U20" s="89"/>
      <c r="V20" s="90"/>
      <c r="W20" s="89"/>
      <c r="X20" s="90"/>
      <c r="Y20" s="89"/>
      <c r="Z20" s="90"/>
      <c r="AA20" s="89"/>
      <c r="AB20" s="90"/>
      <c r="AC20" s="73"/>
      <c r="AD20" s="74"/>
      <c r="AE20" s="75"/>
      <c r="AF20" s="89"/>
      <c r="AG20" s="115"/>
      <c r="AH20" s="115"/>
      <c r="AI20" s="90"/>
      <c r="AP20" s="8"/>
      <c r="AQ20" s="8"/>
      <c r="AR20" s="8"/>
      <c r="AS20" s="8"/>
      <c r="AT20" s="8"/>
      <c r="AU20" s="8"/>
      <c r="AV20" s="8"/>
      <c r="AW20" s="8"/>
    </row>
    <row r="21" spans="1:49" s="7" customFormat="1" ht="30" customHeight="1" x14ac:dyDescent="0.25">
      <c r="A21" s="73"/>
      <c r="B21" s="74"/>
      <c r="C21" s="75"/>
      <c r="D21" s="37"/>
      <c r="E21" s="58"/>
      <c r="F21" s="58"/>
      <c r="G21" s="58"/>
      <c r="H21" s="58"/>
      <c r="I21" s="89"/>
      <c r="J21" s="90"/>
      <c r="K21" s="89"/>
      <c r="L21" s="90"/>
      <c r="M21" s="89"/>
      <c r="N21" s="90"/>
      <c r="O21" s="89"/>
      <c r="P21" s="90"/>
      <c r="Q21" s="89"/>
      <c r="R21" s="90"/>
      <c r="S21" s="89"/>
      <c r="T21" s="90"/>
      <c r="U21" s="89"/>
      <c r="V21" s="90"/>
      <c r="W21" s="89"/>
      <c r="X21" s="90"/>
      <c r="Y21" s="89"/>
      <c r="Z21" s="90"/>
      <c r="AA21" s="89"/>
      <c r="AB21" s="90"/>
      <c r="AC21" s="73"/>
      <c r="AD21" s="74"/>
      <c r="AE21" s="75"/>
      <c r="AF21" s="89"/>
      <c r="AG21" s="115"/>
      <c r="AH21" s="115"/>
      <c r="AI21" s="90"/>
      <c r="AP21" s="8"/>
      <c r="AQ21" s="8"/>
      <c r="AR21" s="8"/>
      <c r="AS21" s="8"/>
      <c r="AT21" s="8"/>
      <c r="AU21" s="8"/>
      <c r="AV21" s="8"/>
      <c r="AW21" s="8"/>
    </row>
    <row r="22" spans="1:49" s="7" customFormat="1" ht="30" customHeight="1" x14ac:dyDescent="0.25">
      <c r="A22" s="73"/>
      <c r="B22" s="74"/>
      <c r="C22" s="75"/>
      <c r="D22" s="37"/>
      <c r="E22" s="58"/>
      <c r="F22" s="58"/>
      <c r="G22" s="58"/>
      <c r="H22" s="58"/>
      <c r="I22" s="89"/>
      <c r="J22" s="90"/>
      <c r="K22" s="89"/>
      <c r="L22" s="90"/>
      <c r="M22" s="89"/>
      <c r="N22" s="90"/>
      <c r="O22" s="89"/>
      <c r="P22" s="90"/>
      <c r="Q22" s="89"/>
      <c r="R22" s="90"/>
      <c r="S22" s="89"/>
      <c r="T22" s="90"/>
      <c r="U22" s="89"/>
      <c r="V22" s="90"/>
      <c r="W22" s="89"/>
      <c r="X22" s="90"/>
      <c r="Y22" s="89"/>
      <c r="Z22" s="90"/>
      <c r="AA22" s="89"/>
      <c r="AB22" s="90"/>
      <c r="AC22" s="73"/>
      <c r="AD22" s="74"/>
      <c r="AE22" s="75"/>
      <c r="AF22" s="89"/>
      <c r="AG22" s="115"/>
      <c r="AH22" s="115"/>
      <c r="AI22" s="90"/>
      <c r="AP22" s="8"/>
      <c r="AQ22" s="8"/>
      <c r="AR22" s="8"/>
      <c r="AS22" s="8"/>
      <c r="AT22" s="8"/>
      <c r="AU22" s="8"/>
      <c r="AV22" s="8"/>
      <c r="AW22" s="8"/>
    </row>
    <row r="23" spans="1:49" s="7" customFormat="1" ht="30" customHeight="1" x14ac:dyDescent="0.25">
      <c r="A23" s="73"/>
      <c r="B23" s="74"/>
      <c r="C23" s="75"/>
      <c r="D23" s="37"/>
      <c r="E23" s="58"/>
      <c r="F23" s="58"/>
      <c r="G23" s="58"/>
      <c r="H23" s="58"/>
      <c r="I23" s="89"/>
      <c r="J23" s="90"/>
      <c r="K23" s="89"/>
      <c r="L23" s="90"/>
      <c r="M23" s="89"/>
      <c r="N23" s="90"/>
      <c r="O23" s="89"/>
      <c r="P23" s="90"/>
      <c r="Q23" s="89"/>
      <c r="R23" s="90"/>
      <c r="S23" s="89"/>
      <c r="T23" s="90"/>
      <c r="U23" s="89"/>
      <c r="V23" s="90"/>
      <c r="W23" s="89"/>
      <c r="X23" s="90"/>
      <c r="Y23" s="89"/>
      <c r="Z23" s="90"/>
      <c r="AA23" s="89"/>
      <c r="AB23" s="90"/>
      <c r="AC23" s="73"/>
      <c r="AD23" s="74"/>
      <c r="AE23" s="75"/>
      <c r="AF23" s="89"/>
      <c r="AG23" s="115"/>
      <c r="AH23" s="115"/>
      <c r="AI23" s="90"/>
      <c r="AP23" s="8"/>
      <c r="AQ23" s="8"/>
      <c r="AR23" s="8"/>
      <c r="AS23" s="8"/>
      <c r="AT23" s="8"/>
      <c r="AU23" s="8"/>
      <c r="AV23" s="8"/>
      <c r="AW23" s="8"/>
    </row>
    <row r="24" spans="1:49" s="7" customFormat="1" ht="30" customHeight="1" x14ac:dyDescent="0.25">
      <c r="A24" s="73"/>
      <c r="B24" s="74"/>
      <c r="C24" s="75"/>
      <c r="D24" s="37"/>
      <c r="E24" s="58"/>
      <c r="F24" s="58"/>
      <c r="G24" s="58"/>
      <c r="H24" s="58"/>
      <c r="I24" s="89"/>
      <c r="J24" s="90"/>
      <c r="K24" s="89"/>
      <c r="L24" s="90"/>
      <c r="M24" s="89"/>
      <c r="N24" s="90"/>
      <c r="O24" s="89"/>
      <c r="P24" s="90"/>
      <c r="Q24" s="89"/>
      <c r="R24" s="90"/>
      <c r="S24" s="89"/>
      <c r="T24" s="90"/>
      <c r="U24" s="89"/>
      <c r="V24" s="90"/>
      <c r="W24" s="89"/>
      <c r="X24" s="90"/>
      <c r="Y24" s="89"/>
      <c r="Z24" s="90"/>
      <c r="AA24" s="89"/>
      <c r="AB24" s="90"/>
      <c r="AC24" s="73"/>
      <c r="AD24" s="74"/>
      <c r="AE24" s="75"/>
      <c r="AF24" s="89"/>
      <c r="AG24" s="115"/>
      <c r="AH24" s="115"/>
      <c r="AI24" s="90"/>
      <c r="AP24" s="8"/>
      <c r="AQ24" s="8"/>
      <c r="AR24" s="8"/>
      <c r="AS24" s="8"/>
      <c r="AT24" s="8"/>
      <c r="AU24" s="8"/>
      <c r="AV24" s="8"/>
      <c r="AW24" s="8"/>
    </row>
    <row r="25" spans="1:49" s="7" customFormat="1" ht="30" customHeight="1" x14ac:dyDescent="0.25">
      <c r="A25" s="73"/>
      <c r="B25" s="74"/>
      <c r="C25" s="75"/>
      <c r="D25" s="37"/>
      <c r="E25" s="58"/>
      <c r="F25" s="58"/>
      <c r="G25" s="58"/>
      <c r="H25" s="58"/>
      <c r="I25" s="89"/>
      <c r="J25" s="90"/>
      <c r="K25" s="89"/>
      <c r="L25" s="90"/>
      <c r="M25" s="89"/>
      <c r="N25" s="90"/>
      <c r="O25" s="89"/>
      <c r="P25" s="90"/>
      <c r="Q25" s="89"/>
      <c r="R25" s="90"/>
      <c r="S25" s="89"/>
      <c r="T25" s="90"/>
      <c r="U25" s="89"/>
      <c r="V25" s="90"/>
      <c r="W25" s="89"/>
      <c r="X25" s="90"/>
      <c r="Y25" s="89"/>
      <c r="Z25" s="90"/>
      <c r="AA25" s="89"/>
      <c r="AB25" s="90"/>
      <c r="AC25" s="73"/>
      <c r="AD25" s="74"/>
      <c r="AE25" s="75"/>
      <c r="AF25" s="89"/>
      <c r="AG25" s="115"/>
      <c r="AH25" s="115"/>
      <c r="AI25" s="90"/>
      <c r="AP25" s="8"/>
      <c r="AQ25" s="8"/>
      <c r="AR25" s="8"/>
      <c r="AS25" s="8"/>
      <c r="AT25" s="8"/>
      <c r="AU25" s="8"/>
      <c r="AV25" s="8"/>
      <c r="AW25" s="8"/>
    </row>
    <row r="26" spans="1:49" s="7" customFormat="1" ht="30" customHeight="1" x14ac:dyDescent="0.25">
      <c r="A26" s="73"/>
      <c r="B26" s="74"/>
      <c r="C26" s="75"/>
      <c r="D26" s="37"/>
      <c r="E26" s="58"/>
      <c r="F26" s="58"/>
      <c r="G26" s="58"/>
      <c r="H26" s="58"/>
      <c r="I26" s="89"/>
      <c r="J26" s="90"/>
      <c r="K26" s="89"/>
      <c r="L26" s="90"/>
      <c r="M26" s="89"/>
      <c r="N26" s="90"/>
      <c r="O26" s="89"/>
      <c r="P26" s="90"/>
      <c r="Q26" s="89"/>
      <c r="R26" s="90"/>
      <c r="S26" s="89"/>
      <c r="T26" s="90"/>
      <c r="U26" s="89"/>
      <c r="V26" s="90"/>
      <c r="W26" s="89"/>
      <c r="X26" s="90"/>
      <c r="Y26" s="89"/>
      <c r="Z26" s="90"/>
      <c r="AA26" s="89"/>
      <c r="AB26" s="90"/>
      <c r="AC26" s="73"/>
      <c r="AD26" s="74"/>
      <c r="AE26" s="75"/>
      <c r="AF26" s="89"/>
      <c r="AG26" s="115"/>
      <c r="AH26" s="115"/>
      <c r="AI26" s="90"/>
      <c r="AP26" s="8"/>
      <c r="AQ26" s="8"/>
      <c r="AR26" s="8"/>
      <c r="AS26" s="8"/>
      <c r="AT26" s="8"/>
      <c r="AU26" s="8"/>
      <c r="AV26" s="8"/>
      <c r="AW26" s="8"/>
    </row>
    <row r="27" spans="1:49" s="7" customFormat="1" ht="30" customHeight="1" x14ac:dyDescent="0.25">
      <c r="A27" s="73"/>
      <c r="B27" s="74"/>
      <c r="C27" s="75"/>
      <c r="D27" s="37"/>
      <c r="E27" s="58"/>
      <c r="F27" s="58"/>
      <c r="G27" s="58"/>
      <c r="H27" s="58"/>
      <c r="I27" s="89"/>
      <c r="J27" s="90"/>
      <c r="K27" s="89"/>
      <c r="L27" s="90"/>
      <c r="M27" s="89"/>
      <c r="N27" s="90"/>
      <c r="O27" s="89"/>
      <c r="P27" s="90"/>
      <c r="Q27" s="89"/>
      <c r="R27" s="90"/>
      <c r="S27" s="89"/>
      <c r="T27" s="90"/>
      <c r="U27" s="89"/>
      <c r="V27" s="90"/>
      <c r="W27" s="89"/>
      <c r="X27" s="90"/>
      <c r="Y27" s="89"/>
      <c r="Z27" s="90"/>
      <c r="AA27" s="89"/>
      <c r="AB27" s="90"/>
      <c r="AC27" s="73"/>
      <c r="AD27" s="74"/>
      <c r="AE27" s="75"/>
      <c r="AF27" s="89"/>
      <c r="AG27" s="115"/>
      <c r="AH27" s="115"/>
      <c r="AI27" s="90"/>
      <c r="AP27" s="8"/>
      <c r="AQ27" s="8"/>
      <c r="AR27" s="8"/>
      <c r="AS27" s="8"/>
      <c r="AT27" s="8"/>
      <c r="AU27" s="8"/>
      <c r="AV27" s="8"/>
      <c r="AW27" s="8"/>
    </row>
    <row r="28" spans="1:49" s="7" customFormat="1" ht="30" customHeight="1" x14ac:dyDescent="0.25">
      <c r="A28" s="73"/>
      <c r="B28" s="74"/>
      <c r="C28" s="75"/>
      <c r="D28" s="37"/>
      <c r="E28" s="58"/>
      <c r="F28" s="58"/>
      <c r="G28" s="58"/>
      <c r="H28" s="58"/>
      <c r="I28" s="89"/>
      <c r="J28" s="90"/>
      <c r="K28" s="89"/>
      <c r="L28" s="90"/>
      <c r="M28" s="89"/>
      <c r="N28" s="90"/>
      <c r="O28" s="89"/>
      <c r="P28" s="90"/>
      <c r="Q28" s="89"/>
      <c r="R28" s="90"/>
      <c r="S28" s="89"/>
      <c r="T28" s="90"/>
      <c r="U28" s="89"/>
      <c r="V28" s="90"/>
      <c r="W28" s="89"/>
      <c r="X28" s="90"/>
      <c r="Y28" s="89"/>
      <c r="Z28" s="90"/>
      <c r="AA28" s="89"/>
      <c r="AB28" s="90"/>
      <c r="AC28" s="73"/>
      <c r="AD28" s="74"/>
      <c r="AE28" s="75"/>
      <c r="AF28" s="89"/>
      <c r="AG28" s="115"/>
      <c r="AH28" s="115"/>
      <c r="AI28" s="90"/>
      <c r="AP28" s="8"/>
      <c r="AQ28" s="8"/>
      <c r="AR28" s="8"/>
      <c r="AS28" s="8"/>
      <c r="AT28" s="8"/>
      <c r="AU28" s="8"/>
      <c r="AV28" s="8"/>
      <c r="AW28" s="8"/>
    </row>
    <row r="29" spans="1:49" s="7" customFormat="1" ht="30" customHeight="1" x14ac:dyDescent="0.25">
      <c r="A29" s="73"/>
      <c r="B29" s="74"/>
      <c r="C29" s="75"/>
      <c r="D29" s="37"/>
      <c r="E29" s="58"/>
      <c r="F29" s="58"/>
      <c r="G29" s="58"/>
      <c r="H29" s="58"/>
      <c r="I29" s="89"/>
      <c r="J29" s="90"/>
      <c r="K29" s="89"/>
      <c r="L29" s="90"/>
      <c r="M29" s="89"/>
      <c r="N29" s="90"/>
      <c r="O29" s="89"/>
      <c r="P29" s="90"/>
      <c r="Q29" s="89"/>
      <c r="R29" s="90"/>
      <c r="S29" s="89"/>
      <c r="T29" s="90"/>
      <c r="U29" s="89"/>
      <c r="V29" s="90"/>
      <c r="W29" s="89"/>
      <c r="X29" s="90"/>
      <c r="Y29" s="89"/>
      <c r="Z29" s="90"/>
      <c r="AA29" s="89"/>
      <c r="AB29" s="90"/>
      <c r="AC29" s="73"/>
      <c r="AD29" s="74"/>
      <c r="AE29" s="75"/>
      <c r="AF29" s="89"/>
      <c r="AG29" s="115"/>
      <c r="AH29" s="115"/>
      <c r="AI29" s="90"/>
      <c r="AP29" s="8"/>
      <c r="AQ29" s="8"/>
      <c r="AR29" s="8"/>
      <c r="AS29" s="8"/>
      <c r="AT29" s="8"/>
      <c r="AU29" s="8"/>
      <c r="AV29" s="8"/>
      <c r="AW29" s="8"/>
    </row>
    <row r="30" spans="1:49" s="7" customFormat="1" ht="30" customHeight="1" x14ac:dyDescent="0.25">
      <c r="A30" s="73"/>
      <c r="B30" s="74"/>
      <c r="C30" s="75"/>
      <c r="D30" s="37"/>
      <c r="E30" s="58"/>
      <c r="F30" s="58"/>
      <c r="G30" s="58"/>
      <c r="H30" s="58"/>
      <c r="I30" s="89"/>
      <c r="J30" s="90"/>
      <c r="K30" s="89"/>
      <c r="L30" s="90"/>
      <c r="M30" s="89"/>
      <c r="N30" s="90"/>
      <c r="O30" s="89"/>
      <c r="P30" s="90"/>
      <c r="Q30" s="89"/>
      <c r="R30" s="90"/>
      <c r="S30" s="89"/>
      <c r="T30" s="90"/>
      <c r="U30" s="89"/>
      <c r="V30" s="90"/>
      <c r="W30" s="89"/>
      <c r="X30" s="90"/>
      <c r="Y30" s="89"/>
      <c r="Z30" s="90"/>
      <c r="AA30" s="89"/>
      <c r="AB30" s="90"/>
      <c r="AC30" s="73"/>
      <c r="AD30" s="74"/>
      <c r="AE30" s="75"/>
      <c r="AF30" s="89"/>
      <c r="AG30" s="115"/>
      <c r="AH30" s="115"/>
      <c r="AI30" s="90"/>
      <c r="AP30" s="8"/>
      <c r="AQ30" s="8"/>
      <c r="AR30" s="8"/>
      <c r="AS30" s="8"/>
      <c r="AT30" s="8"/>
      <c r="AU30" s="8"/>
      <c r="AV30" s="8"/>
      <c r="AW30" s="8"/>
    </row>
    <row r="31" spans="1:49" s="7" customFormat="1" ht="30" customHeight="1" x14ac:dyDescent="0.25">
      <c r="A31" s="73"/>
      <c r="B31" s="74"/>
      <c r="C31" s="75"/>
      <c r="D31" s="37"/>
      <c r="E31" s="58"/>
      <c r="F31" s="58"/>
      <c r="G31" s="58"/>
      <c r="H31" s="58"/>
      <c r="I31" s="89"/>
      <c r="J31" s="90"/>
      <c r="K31" s="89"/>
      <c r="L31" s="90"/>
      <c r="M31" s="89"/>
      <c r="N31" s="90"/>
      <c r="O31" s="89"/>
      <c r="P31" s="90"/>
      <c r="Q31" s="89"/>
      <c r="R31" s="90"/>
      <c r="S31" s="89"/>
      <c r="T31" s="90"/>
      <c r="U31" s="89"/>
      <c r="V31" s="90"/>
      <c r="W31" s="89"/>
      <c r="X31" s="90"/>
      <c r="Y31" s="89"/>
      <c r="Z31" s="90"/>
      <c r="AA31" s="89"/>
      <c r="AB31" s="90"/>
      <c r="AC31" s="73"/>
      <c r="AD31" s="74"/>
      <c r="AE31" s="75"/>
      <c r="AF31" s="89"/>
      <c r="AG31" s="115"/>
      <c r="AH31" s="115"/>
      <c r="AI31" s="90"/>
      <c r="AP31" s="8"/>
      <c r="AQ31" s="8"/>
      <c r="AR31" s="8"/>
      <c r="AS31" s="8"/>
      <c r="AT31" s="8"/>
      <c r="AU31" s="8"/>
      <c r="AV31" s="8"/>
      <c r="AW31" s="8"/>
    </row>
    <row r="32" spans="1:49" s="7" customFormat="1" ht="30" customHeight="1" x14ac:dyDescent="0.25">
      <c r="A32" s="73"/>
      <c r="B32" s="74"/>
      <c r="C32" s="75"/>
      <c r="D32" s="37"/>
      <c r="E32" s="58"/>
      <c r="F32" s="58"/>
      <c r="G32" s="58"/>
      <c r="H32" s="58"/>
      <c r="I32" s="89"/>
      <c r="J32" s="90"/>
      <c r="K32" s="89"/>
      <c r="L32" s="90"/>
      <c r="M32" s="89"/>
      <c r="N32" s="90"/>
      <c r="O32" s="89"/>
      <c r="P32" s="90"/>
      <c r="Q32" s="89"/>
      <c r="R32" s="90"/>
      <c r="S32" s="89"/>
      <c r="T32" s="90"/>
      <c r="U32" s="89"/>
      <c r="V32" s="90"/>
      <c r="W32" s="89"/>
      <c r="X32" s="90"/>
      <c r="Y32" s="89"/>
      <c r="Z32" s="90"/>
      <c r="AA32" s="89"/>
      <c r="AB32" s="90"/>
      <c r="AC32" s="73"/>
      <c r="AD32" s="74"/>
      <c r="AE32" s="75"/>
      <c r="AF32" s="89"/>
      <c r="AG32" s="115"/>
      <c r="AH32" s="115"/>
      <c r="AI32" s="90"/>
      <c r="AP32" s="8"/>
      <c r="AQ32" s="8"/>
      <c r="AR32" s="8"/>
      <c r="AS32" s="8"/>
      <c r="AT32" s="8"/>
      <c r="AU32" s="8"/>
      <c r="AV32" s="8"/>
      <c r="AW32" s="8"/>
    </row>
    <row r="33" spans="1:49" s="7" customFormat="1" ht="30" customHeight="1" x14ac:dyDescent="0.25">
      <c r="A33" s="73"/>
      <c r="B33" s="74"/>
      <c r="C33" s="75"/>
      <c r="D33" s="37"/>
      <c r="E33" s="58"/>
      <c r="F33" s="58"/>
      <c r="G33" s="58"/>
      <c r="H33" s="58"/>
      <c r="I33" s="89"/>
      <c r="J33" s="90"/>
      <c r="K33" s="89"/>
      <c r="L33" s="90"/>
      <c r="M33" s="89"/>
      <c r="N33" s="90"/>
      <c r="O33" s="89"/>
      <c r="P33" s="90"/>
      <c r="Q33" s="89"/>
      <c r="R33" s="90"/>
      <c r="S33" s="89"/>
      <c r="T33" s="90"/>
      <c r="U33" s="89"/>
      <c r="V33" s="90"/>
      <c r="W33" s="89"/>
      <c r="X33" s="90"/>
      <c r="Y33" s="89"/>
      <c r="Z33" s="90"/>
      <c r="AA33" s="89"/>
      <c r="AB33" s="90"/>
      <c r="AC33" s="73"/>
      <c r="AD33" s="74"/>
      <c r="AE33" s="75"/>
      <c r="AF33" s="89"/>
      <c r="AG33" s="115"/>
      <c r="AH33" s="115"/>
      <c r="AI33" s="90"/>
      <c r="AP33" s="8"/>
      <c r="AQ33" s="8"/>
      <c r="AR33" s="8"/>
      <c r="AS33" s="8"/>
      <c r="AT33" s="8"/>
      <c r="AU33" s="8"/>
      <c r="AV33" s="8"/>
      <c r="AW33" s="8"/>
    </row>
    <row r="34" spans="1:49" s="7" customFormat="1" ht="30" customHeight="1" x14ac:dyDescent="0.25">
      <c r="A34" s="73"/>
      <c r="B34" s="74"/>
      <c r="C34" s="75"/>
      <c r="D34" s="37"/>
      <c r="E34" s="58"/>
      <c r="F34" s="58"/>
      <c r="G34" s="58"/>
      <c r="H34" s="58"/>
      <c r="I34" s="89"/>
      <c r="J34" s="90"/>
      <c r="K34" s="89"/>
      <c r="L34" s="90"/>
      <c r="M34" s="89"/>
      <c r="N34" s="90"/>
      <c r="O34" s="89"/>
      <c r="P34" s="90"/>
      <c r="Q34" s="89"/>
      <c r="R34" s="90"/>
      <c r="S34" s="89"/>
      <c r="T34" s="90"/>
      <c r="U34" s="89"/>
      <c r="V34" s="90"/>
      <c r="W34" s="89"/>
      <c r="X34" s="90"/>
      <c r="Y34" s="89"/>
      <c r="Z34" s="90"/>
      <c r="AA34" s="89"/>
      <c r="AB34" s="90"/>
      <c r="AC34" s="73"/>
      <c r="AD34" s="74"/>
      <c r="AE34" s="75"/>
      <c r="AF34" s="89"/>
      <c r="AG34" s="115"/>
      <c r="AH34" s="115"/>
      <c r="AI34" s="90"/>
      <c r="AP34" s="8"/>
      <c r="AQ34" s="8"/>
      <c r="AR34" s="8"/>
      <c r="AS34" s="8"/>
      <c r="AT34" s="8"/>
      <c r="AU34" s="8"/>
      <c r="AV34" s="8"/>
      <c r="AW34" s="8"/>
    </row>
    <row r="35" spans="1:49" s="7" customFormat="1" ht="30" customHeight="1" x14ac:dyDescent="0.25">
      <c r="A35" s="73"/>
      <c r="B35" s="74"/>
      <c r="C35" s="75"/>
      <c r="D35" s="37"/>
      <c r="E35" s="58"/>
      <c r="F35" s="58"/>
      <c r="G35" s="58"/>
      <c r="H35" s="58"/>
      <c r="I35" s="89"/>
      <c r="J35" s="90"/>
      <c r="K35" s="89"/>
      <c r="L35" s="90"/>
      <c r="M35" s="89"/>
      <c r="N35" s="90"/>
      <c r="O35" s="89"/>
      <c r="P35" s="90"/>
      <c r="Q35" s="89"/>
      <c r="R35" s="90"/>
      <c r="S35" s="89"/>
      <c r="T35" s="90"/>
      <c r="U35" s="89"/>
      <c r="V35" s="90"/>
      <c r="W35" s="89"/>
      <c r="X35" s="90"/>
      <c r="Y35" s="89"/>
      <c r="Z35" s="90"/>
      <c r="AA35" s="89"/>
      <c r="AB35" s="90"/>
      <c r="AC35" s="73"/>
      <c r="AD35" s="74"/>
      <c r="AE35" s="75"/>
      <c r="AF35" s="89"/>
      <c r="AG35" s="115"/>
      <c r="AH35" s="115"/>
      <c r="AI35" s="90"/>
      <c r="AP35" s="8"/>
      <c r="AQ35" s="8"/>
      <c r="AR35" s="8"/>
      <c r="AS35" s="8"/>
      <c r="AT35" s="8"/>
      <c r="AU35" s="8"/>
      <c r="AV35" s="8"/>
      <c r="AW35" s="8"/>
    </row>
    <row r="36" spans="1:49" s="7" customFormat="1" ht="30" customHeight="1" x14ac:dyDescent="0.25">
      <c r="A36" s="73"/>
      <c r="B36" s="74"/>
      <c r="C36" s="75"/>
      <c r="D36" s="37"/>
      <c r="E36" s="58"/>
      <c r="F36" s="58"/>
      <c r="G36" s="58"/>
      <c r="H36" s="58"/>
      <c r="I36" s="89"/>
      <c r="J36" s="90"/>
      <c r="K36" s="89"/>
      <c r="L36" s="90"/>
      <c r="M36" s="89"/>
      <c r="N36" s="90"/>
      <c r="O36" s="89"/>
      <c r="P36" s="90"/>
      <c r="Q36" s="89"/>
      <c r="R36" s="90"/>
      <c r="S36" s="89"/>
      <c r="T36" s="90"/>
      <c r="U36" s="89"/>
      <c r="V36" s="90"/>
      <c r="W36" s="89"/>
      <c r="X36" s="90"/>
      <c r="Y36" s="89"/>
      <c r="Z36" s="90"/>
      <c r="AA36" s="89"/>
      <c r="AB36" s="90"/>
      <c r="AC36" s="73"/>
      <c r="AD36" s="74"/>
      <c r="AE36" s="75"/>
      <c r="AF36" s="89"/>
      <c r="AG36" s="115"/>
      <c r="AH36" s="115"/>
      <c r="AI36" s="90"/>
      <c r="AP36" s="8"/>
      <c r="AQ36" s="8"/>
      <c r="AR36" s="8"/>
      <c r="AS36" s="8"/>
      <c r="AT36" s="8"/>
      <c r="AU36" s="8"/>
      <c r="AV36" s="8"/>
      <c r="AW36" s="8"/>
    </row>
    <row r="37" spans="1:49" s="7" customFormat="1" ht="30" customHeight="1" x14ac:dyDescent="0.25">
      <c r="A37" s="73"/>
      <c r="B37" s="74"/>
      <c r="C37" s="75"/>
      <c r="D37" s="37"/>
      <c r="E37" s="58"/>
      <c r="F37" s="58"/>
      <c r="G37" s="58"/>
      <c r="H37" s="58"/>
      <c r="I37" s="89"/>
      <c r="J37" s="90"/>
      <c r="K37" s="89"/>
      <c r="L37" s="90"/>
      <c r="M37" s="89"/>
      <c r="N37" s="90"/>
      <c r="O37" s="89"/>
      <c r="P37" s="90"/>
      <c r="Q37" s="89"/>
      <c r="R37" s="90"/>
      <c r="S37" s="89"/>
      <c r="T37" s="90"/>
      <c r="U37" s="89"/>
      <c r="V37" s="90"/>
      <c r="W37" s="89"/>
      <c r="X37" s="90"/>
      <c r="Y37" s="89"/>
      <c r="Z37" s="90"/>
      <c r="AA37" s="89"/>
      <c r="AB37" s="90"/>
      <c r="AC37" s="73"/>
      <c r="AD37" s="74"/>
      <c r="AE37" s="75"/>
      <c r="AF37" s="89"/>
      <c r="AG37" s="115"/>
      <c r="AH37" s="115"/>
      <c r="AI37" s="90"/>
      <c r="AP37" s="8"/>
      <c r="AQ37" s="8"/>
      <c r="AR37" s="8"/>
      <c r="AS37" s="8"/>
      <c r="AT37" s="8"/>
      <c r="AU37" s="8"/>
      <c r="AV37" s="8"/>
      <c r="AW37" s="8"/>
    </row>
    <row r="38" spans="1:49" s="7" customFormat="1" ht="30" customHeight="1" x14ac:dyDescent="0.25">
      <c r="A38" s="73"/>
      <c r="B38" s="74"/>
      <c r="C38" s="75"/>
      <c r="D38" s="37"/>
      <c r="E38" s="58"/>
      <c r="F38" s="58"/>
      <c r="G38" s="58"/>
      <c r="H38" s="58"/>
      <c r="I38" s="89"/>
      <c r="J38" s="90"/>
      <c r="K38" s="89"/>
      <c r="L38" s="90"/>
      <c r="M38" s="89"/>
      <c r="N38" s="90"/>
      <c r="O38" s="89"/>
      <c r="P38" s="90"/>
      <c r="Q38" s="89"/>
      <c r="R38" s="90"/>
      <c r="S38" s="89"/>
      <c r="T38" s="90"/>
      <c r="U38" s="89"/>
      <c r="V38" s="90"/>
      <c r="W38" s="89"/>
      <c r="X38" s="90"/>
      <c r="Y38" s="89"/>
      <c r="Z38" s="90"/>
      <c r="AA38" s="89"/>
      <c r="AB38" s="90"/>
      <c r="AC38" s="73"/>
      <c r="AD38" s="74"/>
      <c r="AE38" s="75"/>
      <c r="AF38" s="89"/>
      <c r="AG38" s="115"/>
      <c r="AH38" s="115"/>
      <c r="AI38" s="90"/>
      <c r="AP38" s="8"/>
      <c r="AQ38" s="8"/>
      <c r="AR38" s="8"/>
      <c r="AS38" s="8"/>
      <c r="AT38" s="8"/>
      <c r="AU38" s="8"/>
      <c r="AV38" s="8"/>
      <c r="AW38" s="8"/>
    </row>
    <row r="39" spans="1:49" s="7" customFormat="1" ht="30" customHeight="1" x14ac:dyDescent="0.25">
      <c r="A39" s="73"/>
      <c r="B39" s="74"/>
      <c r="C39" s="75"/>
      <c r="D39" s="37"/>
      <c r="E39" s="58"/>
      <c r="F39" s="58"/>
      <c r="G39" s="58"/>
      <c r="H39" s="58"/>
      <c r="I39" s="89"/>
      <c r="J39" s="90"/>
      <c r="K39" s="89"/>
      <c r="L39" s="90"/>
      <c r="M39" s="89"/>
      <c r="N39" s="90"/>
      <c r="O39" s="89"/>
      <c r="P39" s="90"/>
      <c r="Q39" s="89"/>
      <c r="R39" s="90"/>
      <c r="S39" s="89"/>
      <c r="T39" s="90"/>
      <c r="U39" s="89"/>
      <c r="V39" s="90"/>
      <c r="W39" s="89"/>
      <c r="X39" s="90"/>
      <c r="Y39" s="89"/>
      <c r="Z39" s="90"/>
      <c r="AA39" s="89"/>
      <c r="AB39" s="90"/>
      <c r="AC39" s="73"/>
      <c r="AD39" s="74"/>
      <c r="AE39" s="75"/>
      <c r="AF39" s="89"/>
      <c r="AG39" s="115"/>
      <c r="AH39" s="115"/>
      <c r="AI39" s="90"/>
      <c r="AP39" s="8"/>
      <c r="AQ39" s="8"/>
      <c r="AR39" s="8"/>
      <c r="AS39" s="8"/>
      <c r="AT39" s="8"/>
      <c r="AU39" s="8"/>
      <c r="AV39" s="8"/>
      <c r="AW39" s="8"/>
    </row>
    <row r="40" spans="1:49" ht="30" customHeight="1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</row>
    <row r="41" spans="1:49" ht="30" customHeight="1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</row>
    <row r="42" spans="1:49" ht="30" customHeight="1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49" ht="30" customHeight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49" ht="30" customHeight="1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49" ht="30" customHeight="1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49" ht="30" customHeigh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</sheetData>
  <sheetProtection algorithmName="SHA-512" hashValue="TjDtdMSOfCiQpfAy+UXiu5C0vmwk0BQOtwAkusESTezFnSd6VO3cA38b020wLSpVffc5+tW89/giOWrTOsmqAQ==" saltValue="HcscvsXavjZ9agGc2eQp5w==" spinCount="100000" sheet="1" objects="1" scenarios="1" formatCells="0" formatColumns="0" formatRows="0" insertRows="0" deleteColumns="0" deleteRows="0"/>
  <mergeCells count="459">
    <mergeCell ref="AC19:AE19"/>
    <mergeCell ref="AC34:AE34"/>
    <mergeCell ref="AC35:AE35"/>
    <mergeCell ref="AC36:AE36"/>
    <mergeCell ref="AC37:AE37"/>
    <mergeCell ref="AC38:AE38"/>
    <mergeCell ref="AC29:AE29"/>
    <mergeCell ref="AC30:AE30"/>
    <mergeCell ref="AC31:AE31"/>
    <mergeCell ref="AC32:AE32"/>
    <mergeCell ref="AC33:AE33"/>
    <mergeCell ref="AC20:AE20"/>
    <mergeCell ref="AC21:AE21"/>
    <mergeCell ref="AC22:AE22"/>
    <mergeCell ref="AC23:AE23"/>
    <mergeCell ref="AC24:AE24"/>
    <mergeCell ref="AC25:AE25"/>
    <mergeCell ref="AC26:AE26"/>
    <mergeCell ref="AC27:AE27"/>
    <mergeCell ref="AC28:AE28"/>
    <mergeCell ref="AC16:AE16"/>
    <mergeCell ref="AC17:AE17"/>
    <mergeCell ref="AC18:AE18"/>
    <mergeCell ref="W18:X18"/>
    <mergeCell ref="W12:X12"/>
    <mergeCell ref="U12:V12"/>
    <mergeCell ref="S12:T12"/>
    <mergeCell ref="Q12:R12"/>
    <mergeCell ref="Q13:R13"/>
    <mergeCell ref="S13:T13"/>
    <mergeCell ref="AC15:AE15"/>
    <mergeCell ref="Q37:R37"/>
    <mergeCell ref="S37:T37"/>
    <mergeCell ref="U37:V37"/>
    <mergeCell ref="W37:X37"/>
    <mergeCell ref="Q29:R29"/>
    <mergeCell ref="S29:T29"/>
    <mergeCell ref="U29:V29"/>
    <mergeCell ref="W29:X29"/>
    <mergeCell ref="U24:V24"/>
    <mergeCell ref="W24:X24"/>
    <mergeCell ref="AA29:AB29"/>
    <mergeCell ref="AA30:AB30"/>
    <mergeCell ref="Y29:Z29"/>
    <mergeCell ref="Y30:Z30"/>
    <mergeCell ref="AA31:AB31"/>
    <mergeCell ref="AA32:AB32"/>
    <mergeCell ref="AA33:AB33"/>
    <mergeCell ref="AA34:AB34"/>
    <mergeCell ref="U36:V36"/>
    <mergeCell ref="W36:X36"/>
    <mergeCell ref="I38:J38"/>
    <mergeCell ref="K38:L38"/>
    <mergeCell ref="M38:N38"/>
    <mergeCell ref="O38:P38"/>
    <mergeCell ref="Q38:R38"/>
    <mergeCell ref="S38:T38"/>
    <mergeCell ref="U38:V38"/>
    <mergeCell ref="W38:X38"/>
    <mergeCell ref="U34:V34"/>
    <mergeCell ref="W34:X34"/>
    <mergeCell ref="I35:J35"/>
    <mergeCell ref="K35:L35"/>
    <mergeCell ref="M35:N35"/>
    <mergeCell ref="O35:P35"/>
    <mergeCell ref="Q35:R35"/>
    <mergeCell ref="S35:T35"/>
    <mergeCell ref="U35:V35"/>
    <mergeCell ref="W35:X35"/>
    <mergeCell ref="I37:J37"/>
    <mergeCell ref="K37:L37"/>
    <mergeCell ref="M37:N37"/>
    <mergeCell ref="O37:P37"/>
    <mergeCell ref="Q36:R36"/>
    <mergeCell ref="S36:T36"/>
    <mergeCell ref="W30:X30"/>
    <mergeCell ref="I26:J26"/>
    <mergeCell ref="K26:L26"/>
    <mergeCell ref="M26:N26"/>
    <mergeCell ref="O26:P26"/>
    <mergeCell ref="Q26:R26"/>
    <mergeCell ref="S26:T26"/>
    <mergeCell ref="U26:V26"/>
    <mergeCell ref="W26:X26"/>
    <mergeCell ref="I27:J27"/>
    <mergeCell ref="K27:L27"/>
    <mergeCell ref="M27:N27"/>
    <mergeCell ref="O27:P27"/>
    <mergeCell ref="Q27:R27"/>
    <mergeCell ref="S27:T27"/>
    <mergeCell ref="U27:V27"/>
    <mergeCell ref="W27:X27"/>
    <mergeCell ref="U21:V21"/>
    <mergeCell ref="Q24:R24"/>
    <mergeCell ref="S24:T24"/>
    <mergeCell ref="K30:L30"/>
    <mergeCell ref="M30:N30"/>
    <mergeCell ref="O30:P30"/>
    <mergeCell ref="Q30:R30"/>
    <mergeCell ref="S30:T30"/>
    <mergeCell ref="U30:V30"/>
    <mergeCell ref="W17:X17"/>
    <mergeCell ref="M18:N18"/>
    <mergeCell ref="O18:P18"/>
    <mergeCell ref="Q18:R18"/>
    <mergeCell ref="S18:T18"/>
    <mergeCell ref="U18:V18"/>
    <mergeCell ref="U19:V19"/>
    <mergeCell ref="K25:L25"/>
    <mergeCell ref="M25:N25"/>
    <mergeCell ref="O25:P25"/>
    <mergeCell ref="Q25:R25"/>
    <mergeCell ref="S25:T25"/>
    <mergeCell ref="U25:V25"/>
    <mergeCell ref="W25:X25"/>
    <mergeCell ref="W21:X21"/>
    <mergeCell ref="K22:L22"/>
    <mergeCell ref="M22:N22"/>
    <mergeCell ref="O22:P22"/>
    <mergeCell ref="Q22:R22"/>
    <mergeCell ref="S22:T22"/>
    <mergeCell ref="U22:V22"/>
    <mergeCell ref="W22:X22"/>
    <mergeCell ref="Q21:R21"/>
    <mergeCell ref="S21:T21"/>
    <mergeCell ref="E25:F25"/>
    <mergeCell ref="G25:H25"/>
    <mergeCell ref="E29:F29"/>
    <mergeCell ref="G29:H29"/>
    <mergeCell ref="E31:F31"/>
    <mergeCell ref="G31:H31"/>
    <mergeCell ref="E33:F33"/>
    <mergeCell ref="G33:H33"/>
    <mergeCell ref="I19:J19"/>
    <mergeCell ref="I25:J25"/>
    <mergeCell ref="I30:J30"/>
    <mergeCell ref="I22:J22"/>
    <mergeCell ref="A23:C23"/>
    <mergeCell ref="A16:C16"/>
    <mergeCell ref="A17:C17"/>
    <mergeCell ref="A18:C18"/>
    <mergeCell ref="A19:C19"/>
    <mergeCell ref="A20:C20"/>
    <mergeCell ref="A21:C21"/>
    <mergeCell ref="U13:V13"/>
    <mergeCell ref="W13:X13"/>
    <mergeCell ref="O14:P14"/>
    <mergeCell ref="Q14:R14"/>
    <mergeCell ref="S14:T14"/>
    <mergeCell ref="U14:V14"/>
    <mergeCell ref="A15:C15"/>
    <mergeCell ref="A22:C22"/>
    <mergeCell ref="E17:F17"/>
    <mergeCell ref="G17:H17"/>
    <mergeCell ref="E21:F21"/>
    <mergeCell ref="G21:H21"/>
    <mergeCell ref="K19:L19"/>
    <mergeCell ref="M19:N19"/>
    <mergeCell ref="O19:P19"/>
    <mergeCell ref="Q19:R19"/>
    <mergeCell ref="S19:T19"/>
    <mergeCell ref="A39:C39"/>
    <mergeCell ref="A24:C24"/>
    <mergeCell ref="A25:C25"/>
    <mergeCell ref="A26:C26"/>
    <mergeCell ref="A27:C27"/>
    <mergeCell ref="A28:C28"/>
    <mergeCell ref="A29:C29"/>
    <mergeCell ref="A30:C30"/>
    <mergeCell ref="A31:C31"/>
    <mergeCell ref="A32:C32"/>
    <mergeCell ref="A38:C38"/>
    <mergeCell ref="A36:C36"/>
    <mergeCell ref="A37:C37"/>
    <mergeCell ref="A33:C33"/>
    <mergeCell ref="A34:C34"/>
    <mergeCell ref="A35:C35"/>
    <mergeCell ref="A13:C13"/>
    <mergeCell ref="A14:C14"/>
    <mergeCell ref="W14:X14"/>
    <mergeCell ref="E9:H10"/>
    <mergeCell ref="A7:I7"/>
    <mergeCell ref="AC12:AE12"/>
    <mergeCell ref="AC13:AE13"/>
    <mergeCell ref="AC14:AE14"/>
    <mergeCell ref="O12:P12"/>
    <mergeCell ref="M12:N12"/>
    <mergeCell ref="K12:L12"/>
    <mergeCell ref="I12:J12"/>
    <mergeCell ref="I13:J13"/>
    <mergeCell ref="K13:L13"/>
    <mergeCell ref="M13:N13"/>
    <mergeCell ref="O13:P13"/>
    <mergeCell ref="D9:D11"/>
    <mergeCell ref="J7:V7"/>
    <mergeCell ref="A9:C10"/>
    <mergeCell ref="AC9:AE10"/>
    <mergeCell ref="A11:C11"/>
    <mergeCell ref="AC11:AE11"/>
    <mergeCell ref="G12:H12"/>
    <mergeCell ref="AB7:AI7"/>
    <mergeCell ref="Y9:AB10"/>
    <mergeCell ref="Y11:Z11"/>
    <mergeCell ref="AA11:AB11"/>
    <mergeCell ref="I9:L10"/>
    <mergeCell ref="M9:P10"/>
    <mergeCell ref="Q9:T10"/>
    <mergeCell ref="U9:X10"/>
    <mergeCell ref="I11:J11"/>
    <mergeCell ref="K11:L11"/>
    <mergeCell ref="W11:X11"/>
    <mergeCell ref="AF17:AI17"/>
    <mergeCell ref="E18:F18"/>
    <mergeCell ref="G18:H18"/>
    <mergeCell ref="AF18:AI18"/>
    <mergeCell ref="E15:F15"/>
    <mergeCell ref="G15:H15"/>
    <mergeCell ref="AF15:AI15"/>
    <mergeCell ref="E16:F16"/>
    <mergeCell ref="G16:H16"/>
    <mergeCell ref="AF16:AI16"/>
    <mergeCell ref="I15:J15"/>
    <mergeCell ref="K15:L15"/>
    <mergeCell ref="M15:N15"/>
    <mergeCell ref="O15:P15"/>
    <mergeCell ref="Q15:R15"/>
    <mergeCell ref="S15:T15"/>
    <mergeCell ref="U15:V15"/>
    <mergeCell ref="W15:X15"/>
    <mergeCell ref="I16:J16"/>
    <mergeCell ref="K16:L16"/>
    <mergeCell ref="M16:N16"/>
    <mergeCell ref="O16:P16"/>
    <mergeCell ref="Y18:Z18"/>
    <mergeCell ref="AA17:AB17"/>
    <mergeCell ref="AF21:AI21"/>
    <mergeCell ref="E22:F22"/>
    <mergeCell ref="G22:H22"/>
    <mergeCell ref="AF22:AI22"/>
    <mergeCell ref="E19:F19"/>
    <mergeCell ref="G19:H19"/>
    <mergeCell ref="AF19:AI19"/>
    <mergeCell ref="E20:F20"/>
    <mergeCell ref="G20:H20"/>
    <mergeCell ref="AF20:AI20"/>
    <mergeCell ref="I20:J20"/>
    <mergeCell ref="K20:L20"/>
    <mergeCell ref="M20:N20"/>
    <mergeCell ref="O20:P20"/>
    <mergeCell ref="Q20:R20"/>
    <mergeCell ref="S20:T20"/>
    <mergeCell ref="U20:V20"/>
    <mergeCell ref="W20:X20"/>
    <mergeCell ref="I21:J21"/>
    <mergeCell ref="K21:L21"/>
    <mergeCell ref="M21:N21"/>
    <mergeCell ref="O21:P21"/>
    <mergeCell ref="Y19:Z19"/>
    <mergeCell ref="Y20:Z20"/>
    <mergeCell ref="AF25:AI25"/>
    <mergeCell ref="E26:F26"/>
    <mergeCell ref="G26:H26"/>
    <mergeCell ref="AF26:AI26"/>
    <mergeCell ref="E23:F23"/>
    <mergeCell ref="G23:H23"/>
    <mergeCell ref="AF23:AI23"/>
    <mergeCell ref="E24:F24"/>
    <mergeCell ref="G24:H24"/>
    <mergeCell ref="AF24:AI24"/>
    <mergeCell ref="I23:J23"/>
    <mergeCell ref="K23:L23"/>
    <mergeCell ref="M23:N23"/>
    <mergeCell ref="O23:P23"/>
    <mergeCell ref="Q23:R23"/>
    <mergeCell ref="S23:T23"/>
    <mergeCell ref="U23:V23"/>
    <mergeCell ref="W23:X23"/>
    <mergeCell ref="I24:J24"/>
    <mergeCell ref="K24:L24"/>
    <mergeCell ref="M24:N24"/>
    <mergeCell ref="O24:P24"/>
    <mergeCell ref="Y26:Z26"/>
    <mergeCell ref="AA26:AB26"/>
    <mergeCell ref="AF29:AI29"/>
    <mergeCell ref="E30:F30"/>
    <mergeCell ref="G30:H30"/>
    <mergeCell ref="AF30:AI30"/>
    <mergeCell ref="E27:F27"/>
    <mergeCell ref="G27:H27"/>
    <mergeCell ref="AF27:AI27"/>
    <mergeCell ref="E28:F28"/>
    <mergeCell ref="G28:H28"/>
    <mergeCell ref="AF28:AI28"/>
    <mergeCell ref="I28:J28"/>
    <mergeCell ref="K28:L28"/>
    <mergeCell ref="M28:N28"/>
    <mergeCell ref="O28:P28"/>
    <mergeCell ref="Q28:R28"/>
    <mergeCell ref="S28:T28"/>
    <mergeCell ref="U28:V28"/>
    <mergeCell ref="W28:X28"/>
    <mergeCell ref="I29:J29"/>
    <mergeCell ref="K29:L29"/>
    <mergeCell ref="M29:N29"/>
    <mergeCell ref="O29:P29"/>
    <mergeCell ref="Y27:Z27"/>
    <mergeCell ref="Y28:Z28"/>
    <mergeCell ref="AF31:AI31"/>
    <mergeCell ref="E32:F32"/>
    <mergeCell ref="G32:H32"/>
    <mergeCell ref="AF32:AI32"/>
    <mergeCell ref="I31:J31"/>
    <mergeCell ref="K31:L31"/>
    <mergeCell ref="M31:N31"/>
    <mergeCell ref="O31:P31"/>
    <mergeCell ref="Q31:R31"/>
    <mergeCell ref="S31:T31"/>
    <mergeCell ref="U31:V31"/>
    <mergeCell ref="W31:X31"/>
    <mergeCell ref="I32:J32"/>
    <mergeCell ref="K32:L32"/>
    <mergeCell ref="M32:N32"/>
    <mergeCell ref="O32:P32"/>
    <mergeCell ref="Q32:R32"/>
    <mergeCell ref="S32:T32"/>
    <mergeCell ref="U32:V32"/>
    <mergeCell ref="W32:X32"/>
    <mergeCell ref="Y31:Z31"/>
    <mergeCell ref="Y32:Z32"/>
    <mergeCell ref="AF33:AI33"/>
    <mergeCell ref="E34:F34"/>
    <mergeCell ref="G34:H34"/>
    <mergeCell ref="AF34:AI34"/>
    <mergeCell ref="I33:J33"/>
    <mergeCell ref="K33:L33"/>
    <mergeCell ref="M33:N33"/>
    <mergeCell ref="O33:P33"/>
    <mergeCell ref="Q33:R33"/>
    <mergeCell ref="S33:T33"/>
    <mergeCell ref="U33:V33"/>
    <mergeCell ref="W33:X33"/>
    <mergeCell ref="I34:J34"/>
    <mergeCell ref="K34:L34"/>
    <mergeCell ref="M34:N34"/>
    <mergeCell ref="O34:P34"/>
    <mergeCell ref="Q34:R34"/>
    <mergeCell ref="S34:T34"/>
    <mergeCell ref="Y33:Z33"/>
    <mergeCell ref="Y34:Z34"/>
    <mergeCell ref="E39:F39"/>
    <mergeCell ref="G39:H39"/>
    <mergeCell ref="AF39:AI39"/>
    <mergeCell ref="I39:J39"/>
    <mergeCell ref="K39:L39"/>
    <mergeCell ref="M39:N39"/>
    <mergeCell ref="O39:P39"/>
    <mergeCell ref="Q39:R39"/>
    <mergeCell ref="S39:T39"/>
    <mergeCell ref="U39:V39"/>
    <mergeCell ref="W39:X39"/>
    <mergeCell ref="Y39:Z39"/>
    <mergeCell ref="AA39:AB39"/>
    <mergeCell ref="AC39:AE39"/>
    <mergeCell ref="E37:F37"/>
    <mergeCell ref="G37:H37"/>
    <mergeCell ref="AF37:AI37"/>
    <mergeCell ref="E38:F38"/>
    <mergeCell ref="G38:H38"/>
    <mergeCell ref="AF38:AI38"/>
    <mergeCell ref="E35:F35"/>
    <mergeCell ref="G35:H35"/>
    <mergeCell ref="AF35:AI35"/>
    <mergeCell ref="E36:F36"/>
    <mergeCell ref="G36:H36"/>
    <mergeCell ref="Y38:Z38"/>
    <mergeCell ref="Y35:Z35"/>
    <mergeCell ref="Y36:Z36"/>
    <mergeCell ref="Y37:Z37"/>
    <mergeCell ref="AA38:AB38"/>
    <mergeCell ref="AA35:AB35"/>
    <mergeCell ref="AA36:AB36"/>
    <mergeCell ref="AA37:AB37"/>
    <mergeCell ref="AF36:AI36"/>
    <mergeCell ref="I36:J36"/>
    <mergeCell ref="K36:L36"/>
    <mergeCell ref="M36:N36"/>
    <mergeCell ref="O36:P36"/>
    <mergeCell ref="AA27:AB27"/>
    <mergeCell ref="AA28:AB28"/>
    <mergeCell ref="Y12:Z12"/>
    <mergeCell ref="Y13:Z13"/>
    <mergeCell ref="Y14:Z14"/>
    <mergeCell ref="Y15:Z15"/>
    <mergeCell ref="Y16:Z16"/>
    <mergeCell ref="Y17:Z17"/>
    <mergeCell ref="AA25:AB25"/>
    <mergeCell ref="AA15:AB15"/>
    <mergeCell ref="AA16:AB16"/>
    <mergeCell ref="Y21:Z21"/>
    <mergeCell ref="Y22:Z22"/>
    <mergeCell ref="Y23:Z23"/>
    <mergeCell ref="Y24:Z24"/>
    <mergeCell ref="Y25:Z25"/>
    <mergeCell ref="AA12:AB12"/>
    <mergeCell ref="AA13:AB13"/>
    <mergeCell ref="AA14:AB14"/>
    <mergeCell ref="AA18:AB18"/>
    <mergeCell ref="AA19:AB19"/>
    <mergeCell ref="AA20:AB20"/>
    <mergeCell ref="AA21:AB21"/>
    <mergeCell ref="AA22:AB22"/>
    <mergeCell ref="AF13:AI13"/>
    <mergeCell ref="E14:F14"/>
    <mergeCell ref="G14:H14"/>
    <mergeCell ref="AF14:AI14"/>
    <mergeCell ref="AF9:AI11"/>
    <mergeCell ref="E11:F11"/>
    <mergeCell ref="G11:H11"/>
    <mergeCell ref="E12:F12"/>
    <mergeCell ref="A1:D3"/>
    <mergeCell ref="E1:AE3"/>
    <mergeCell ref="E13:F13"/>
    <mergeCell ref="G13:H13"/>
    <mergeCell ref="AF12:AI12"/>
    <mergeCell ref="AF1:AG1"/>
    <mergeCell ref="AH1:AI1"/>
    <mergeCell ref="AF2:AG2"/>
    <mergeCell ref="AH2:AI2"/>
    <mergeCell ref="AF3:AG3"/>
    <mergeCell ref="AH3:AI3"/>
    <mergeCell ref="A12:C12"/>
    <mergeCell ref="A5:I5"/>
    <mergeCell ref="J5:AI5"/>
    <mergeCell ref="A6:AI6"/>
    <mergeCell ref="X7:AA7"/>
    <mergeCell ref="AA23:AB23"/>
    <mergeCell ref="AA24:AB24"/>
    <mergeCell ref="U11:V11"/>
    <mergeCell ref="S11:T11"/>
    <mergeCell ref="Q11:R11"/>
    <mergeCell ref="O11:P11"/>
    <mergeCell ref="M11:N11"/>
    <mergeCell ref="I14:J14"/>
    <mergeCell ref="K14:L14"/>
    <mergeCell ref="M14:N14"/>
    <mergeCell ref="Q16:R16"/>
    <mergeCell ref="S16:T16"/>
    <mergeCell ref="U16:V16"/>
    <mergeCell ref="I18:J18"/>
    <mergeCell ref="K18:L18"/>
    <mergeCell ref="W19:X19"/>
    <mergeCell ref="W16:X16"/>
    <mergeCell ref="I17:J17"/>
    <mergeCell ref="K17:L17"/>
    <mergeCell ref="M17:N17"/>
    <mergeCell ref="O17:P17"/>
    <mergeCell ref="Q17:R17"/>
    <mergeCell ref="S17:T17"/>
    <mergeCell ref="U17:V17"/>
  </mergeCells>
  <conditionalFormatting sqref="AC14:AE39">
    <cfRule type="cellIs" dxfId="14" priority="4" operator="greaterThan">
      <formula>$AR$1</formula>
    </cfRule>
    <cfRule type="cellIs" dxfId="13" priority="5" operator="between">
      <formula>$AQ$1</formula>
      <formula>$AR$1</formula>
    </cfRule>
    <cfRule type="cellIs" dxfId="12" priority="6" operator="lessThanOrEqual">
      <formula>$AQ$1</formula>
    </cfRule>
  </conditionalFormatting>
  <conditionalFormatting sqref="AC12:AE13">
    <cfRule type="cellIs" dxfId="11" priority="1" operator="greaterThan">
      <formula>$AQ$1</formula>
    </cfRule>
    <cfRule type="cellIs" dxfId="10" priority="2" operator="between">
      <formula>$AP$1</formula>
      <formula>$AQ$1</formula>
    </cfRule>
    <cfRule type="cellIs" dxfId="9" priority="3" operator="lessThanOrEqual">
      <formula>$AP$1</formula>
    </cfRule>
  </conditionalFormatting>
  <printOptions horizontalCentered="1"/>
  <pageMargins left="0.19685039370078741" right="0.19685039370078741" top="0.19685039370078741" bottom="0.39370078740157483" header="0.31496062992125984" footer="0.31496062992125984"/>
  <pageSetup scale="91" orientation="landscape" r:id="rId1"/>
  <headerFooter>
    <oddFooter>&amp;R&amp;"Arial Narrow,Normal"&amp;9Página: &amp;P de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icture r:id="rId3"/>
  </sheetPr>
  <dimension ref="A1:AE56"/>
  <sheetViews>
    <sheetView view="pageBreakPreview" zoomScaleNormal="100" zoomScaleSheetLayoutView="100" workbookViewId="0">
      <selection activeCell="V13" sqref="V13:Y13"/>
    </sheetView>
  </sheetViews>
  <sheetFormatPr baseColWidth="10" defaultColWidth="11.42578125" defaultRowHeight="15.75" x14ac:dyDescent="0.25"/>
  <cols>
    <col min="1" max="3" width="3.7109375" style="6" customWidth="1" collapsed="1"/>
    <col min="4" max="5" width="6.28515625" style="6" customWidth="1" collapsed="1"/>
    <col min="6" max="8" width="5.28515625" style="6" customWidth="1" collapsed="1"/>
    <col min="9" max="11" width="4.7109375" style="6" customWidth="1" collapsed="1"/>
    <col min="12" max="13" width="5.28515625" style="6" customWidth="1" collapsed="1"/>
    <col min="14" max="14" width="10" style="6" customWidth="1" collapsed="1"/>
    <col min="15" max="15" width="7.7109375" style="6" customWidth="1" collapsed="1"/>
    <col min="16" max="17" width="5.7109375" style="6" customWidth="1" collapsed="1"/>
    <col min="18" max="19" width="10.140625" style="6" customWidth="1" collapsed="1"/>
    <col min="20" max="21" width="7.7109375" style="6" customWidth="1" collapsed="1"/>
    <col min="22" max="25" width="5.7109375" style="6" customWidth="1" collapsed="1"/>
    <col min="26" max="26" width="11.42578125" style="6" collapsed="1"/>
    <col min="27" max="28" width="12.42578125" style="6" bestFit="1" customWidth="1" collapsed="1"/>
    <col min="29" max="29" width="15.140625" style="6" customWidth="1" collapsed="1"/>
    <col min="30" max="30" width="13.5703125" style="6" customWidth="1" collapsed="1"/>
    <col min="31" max="31" width="24.7109375" style="6" bestFit="1" customWidth="1" collapsed="1"/>
    <col min="32" max="16384" width="11.42578125" style="6" collapsed="1"/>
  </cols>
  <sheetData>
    <row r="1" spans="1:31" ht="18" customHeight="1" x14ac:dyDescent="0.25">
      <c r="A1" s="106"/>
      <c r="B1" s="107"/>
      <c r="C1" s="107"/>
      <c r="D1" s="108"/>
      <c r="E1" s="49" t="s">
        <v>33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50" t="s">
        <v>3</v>
      </c>
      <c r="W1" s="50"/>
      <c r="X1" s="50" t="s">
        <v>258</v>
      </c>
      <c r="Y1" s="50"/>
      <c r="AE1" s="11"/>
    </row>
    <row r="2" spans="1:31" ht="18" customHeight="1" x14ac:dyDescent="0.25">
      <c r="A2" s="109"/>
      <c r="B2" s="110"/>
      <c r="C2" s="110"/>
      <c r="D2" s="111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50" t="s">
        <v>1</v>
      </c>
      <c r="W2" s="50"/>
      <c r="X2" s="207">
        <v>5</v>
      </c>
      <c r="Y2" s="207"/>
      <c r="AE2" s="11"/>
    </row>
    <row r="3" spans="1:31" ht="18" customHeight="1" x14ac:dyDescent="0.25">
      <c r="A3" s="112"/>
      <c r="B3" s="113"/>
      <c r="C3" s="113"/>
      <c r="D3" s="114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50" t="s">
        <v>2</v>
      </c>
      <c r="W3" s="50"/>
      <c r="X3" s="208">
        <v>45434</v>
      </c>
      <c r="Y3" s="208"/>
      <c r="AE3" s="11"/>
    </row>
    <row r="4" spans="1:31" s="7" customFormat="1" ht="5.0999999999999996" customHeigh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AE4" s="8"/>
    </row>
    <row r="5" spans="1:31" s="7" customFormat="1" ht="18" customHeight="1" x14ac:dyDescent="0.25">
      <c r="A5" s="172" t="s">
        <v>227</v>
      </c>
      <c r="B5" s="173"/>
      <c r="C5" s="173"/>
      <c r="D5" s="173"/>
      <c r="E5" s="173"/>
      <c r="F5" s="173"/>
      <c r="G5" s="102">
        <f>+Registro!$K$5</f>
        <v>0</v>
      </c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AE5" s="8"/>
    </row>
    <row r="6" spans="1:31" s="7" customFormat="1" ht="5.0999999999999996" customHeight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AE6" s="8"/>
    </row>
    <row r="7" spans="1:31" s="7" customFormat="1" ht="18" customHeight="1" x14ac:dyDescent="0.25">
      <c r="A7" s="172" t="s">
        <v>28</v>
      </c>
      <c r="B7" s="173"/>
      <c r="C7" s="173"/>
      <c r="D7" s="173"/>
      <c r="E7" s="173"/>
      <c r="F7" s="182"/>
      <c r="G7" s="94" t="s">
        <v>229</v>
      </c>
      <c r="H7" s="95"/>
      <c r="I7" s="95"/>
      <c r="J7" s="96"/>
      <c r="L7" s="169" t="s">
        <v>45</v>
      </c>
      <c r="M7" s="170"/>
      <c r="N7" s="98"/>
      <c r="O7" s="99"/>
      <c r="P7" s="99"/>
      <c r="Q7" s="100"/>
      <c r="S7" s="180" t="s">
        <v>38</v>
      </c>
      <c r="T7" s="181"/>
      <c r="U7" s="132" t="s">
        <v>245</v>
      </c>
      <c r="V7" s="132"/>
      <c r="W7" s="132"/>
      <c r="X7" s="132"/>
      <c r="Y7" s="132"/>
    </row>
    <row r="8" spans="1:31" s="7" customFormat="1" ht="5.0999999999999996" customHeight="1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</row>
    <row r="9" spans="1:31" s="7" customFormat="1" ht="32.25" customHeight="1" x14ac:dyDescent="0.25">
      <c r="A9" s="133" t="s">
        <v>42</v>
      </c>
      <c r="B9" s="133"/>
      <c r="C9" s="133"/>
      <c r="D9" s="133" t="s">
        <v>46</v>
      </c>
      <c r="E9" s="133"/>
      <c r="F9" s="133"/>
      <c r="G9" s="133"/>
      <c r="H9" s="133"/>
      <c r="I9" s="116" t="s">
        <v>35</v>
      </c>
      <c r="J9" s="117"/>
      <c r="K9" s="117"/>
      <c r="L9" s="117"/>
      <c r="M9" s="117"/>
      <c r="N9" s="117"/>
      <c r="O9" s="117"/>
      <c r="P9" s="117"/>
      <c r="Q9" s="118"/>
      <c r="R9" s="169" t="s">
        <v>40</v>
      </c>
      <c r="S9" s="170"/>
      <c r="T9" s="169" t="s">
        <v>37</v>
      </c>
      <c r="U9" s="170"/>
      <c r="V9" s="116" t="s">
        <v>0</v>
      </c>
      <c r="W9" s="117"/>
      <c r="X9" s="117"/>
      <c r="Y9" s="118"/>
    </row>
    <row r="10" spans="1:31" s="7" customFormat="1" ht="31.5" customHeight="1" x14ac:dyDescent="0.25">
      <c r="A10" s="82" t="s">
        <v>236</v>
      </c>
      <c r="B10" s="83"/>
      <c r="C10" s="84"/>
      <c r="D10" s="77" t="s">
        <v>21</v>
      </c>
      <c r="E10" s="77"/>
      <c r="F10" s="77" t="s">
        <v>22</v>
      </c>
      <c r="G10" s="77"/>
      <c r="H10" s="77"/>
      <c r="I10" s="85" t="s">
        <v>23</v>
      </c>
      <c r="J10" s="171"/>
      <c r="K10" s="171"/>
      <c r="L10" s="171"/>
      <c r="M10" s="86"/>
      <c r="N10" s="85" t="s">
        <v>244</v>
      </c>
      <c r="O10" s="86"/>
      <c r="P10" s="85" t="s">
        <v>24</v>
      </c>
      <c r="Q10" s="86"/>
      <c r="R10" s="29" t="s">
        <v>5</v>
      </c>
      <c r="S10" s="29" t="s">
        <v>6</v>
      </c>
      <c r="T10" s="29" t="s">
        <v>5</v>
      </c>
      <c r="U10" s="29" t="s">
        <v>6</v>
      </c>
      <c r="V10" s="122"/>
      <c r="W10" s="123"/>
      <c r="X10" s="123"/>
      <c r="Y10" s="124"/>
    </row>
    <row r="11" spans="1:31" s="7" customFormat="1" ht="20.100000000000001" customHeight="1" x14ac:dyDescent="0.25">
      <c r="A11" s="73"/>
      <c r="B11" s="74"/>
      <c r="C11" s="75"/>
      <c r="D11" s="145" t="s">
        <v>10</v>
      </c>
      <c r="E11" s="145"/>
      <c r="F11" s="174">
        <v>1</v>
      </c>
      <c r="G11" s="175"/>
      <c r="H11" s="176"/>
      <c r="I11" s="177"/>
      <c r="J11" s="178"/>
      <c r="K11" s="179"/>
      <c r="L11" s="149" t="str">
        <f>+IF(F11=I11,"Ok",IF(F11&gt;I11,"Solicitar"," "))</f>
        <v>Solicitar</v>
      </c>
      <c r="M11" s="150"/>
      <c r="N11" s="73"/>
      <c r="O11" s="75"/>
      <c r="P11" s="143" t="str">
        <f t="shared" ref="P11" ca="1" si="0">IF(N11 &lt; TODAY(), "Vencido", IF(N11 = "No aplica","No aplica", DATEDIF(TODAY(),N11, "m")))</f>
        <v>Vencido</v>
      </c>
      <c r="Q11" s="144"/>
      <c r="R11" s="27"/>
      <c r="S11" s="39"/>
      <c r="T11" s="27"/>
      <c r="U11" s="39"/>
      <c r="V11" s="89"/>
      <c r="W11" s="115"/>
      <c r="X11" s="115"/>
      <c r="Y11" s="90"/>
    </row>
    <row r="12" spans="1:31" s="7" customFormat="1" ht="20.100000000000001" customHeight="1" x14ac:dyDescent="0.25">
      <c r="A12" s="73"/>
      <c r="B12" s="74"/>
      <c r="C12" s="75"/>
      <c r="D12" s="145" t="s">
        <v>11</v>
      </c>
      <c r="E12" s="145"/>
      <c r="F12" s="167">
        <v>4</v>
      </c>
      <c r="G12" s="167"/>
      <c r="H12" s="167"/>
      <c r="I12" s="165"/>
      <c r="J12" s="165"/>
      <c r="K12" s="165"/>
      <c r="L12" s="149" t="str">
        <f t="shared" ref="L12:L22" si="1">+IF(F12=I12,"Ok",IF(F12&gt;I12,"Solicitar"," "))</f>
        <v>Solicitar</v>
      </c>
      <c r="M12" s="150"/>
      <c r="N12" s="73"/>
      <c r="O12" s="75"/>
      <c r="P12" s="143" t="str">
        <f t="shared" ref="P12:P22" ca="1" si="2">IF(N12 &lt; TODAY(), "Vencido", IF(N12 = "No aplica","No aplica", DATEDIF(TODAY(),N12, "m")))</f>
        <v>Vencido</v>
      </c>
      <c r="Q12" s="144"/>
      <c r="R12" s="27"/>
      <c r="S12" s="39"/>
      <c r="T12" s="27"/>
      <c r="U12" s="39"/>
      <c r="V12" s="89"/>
      <c r="W12" s="115"/>
      <c r="X12" s="115"/>
      <c r="Y12" s="90"/>
    </row>
    <row r="13" spans="1:31" s="7" customFormat="1" ht="20.100000000000001" customHeight="1" x14ac:dyDescent="0.25">
      <c r="A13" s="73"/>
      <c r="B13" s="74"/>
      <c r="C13" s="75"/>
      <c r="D13" s="145" t="s">
        <v>36</v>
      </c>
      <c r="E13" s="145"/>
      <c r="F13" s="147">
        <v>3</v>
      </c>
      <c r="G13" s="147"/>
      <c r="H13" s="147"/>
      <c r="I13" s="148"/>
      <c r="J13" s="148"/>
      <c r="K13" s="148"/>
      <c r="L13" s="149" t="str">
        <f t="shared" si="1"/>
        <v>Solicitar</v>
      </c>
      <c r="M13" s="150"/>
      <c r="N13" s="73"/>
      <c r="O13" s="75"/>
      <c r="P13" s="143" t="str">
        <f t="shared" ca="1" si="2"/>
        <v>Vencido</v>
      </c>
      <c r="Q13" s="144"/>
      <c r="R13" s="27"/>
      <c r="S13" s="39"/>
      <c r="T13" s="27"/>
      <c r="U13" s="39"/>
      <c r="V13" s="89"/>
      <c r="W13" s="115"/>
      <c r="X13" s="115"/>
      <c r="Y13" s="90"/>
    </row>
    <row r="14" spans="1:31" s="7" customFormat="1" ht="29.25" customHeight="1" x14ac:dyDescent="0.25">
      <c r="A14" s="73"/>
      <c r="B14" s="74"/>
      <c r="C14" s="75"/>
      <c r="D14" s="166" t="s">
        <v>12</v>
      </c>
      <c r="E14" s="166"/>
      <c r="F14" s="147">
        <v>3</v>
      </c>
      <c r="G14" s="147"/>
      <c r="H14" s="147"/>
      <c r="I14" s="148"/>
      <c r="J14" s="148"/>
      <c r="K14" s="148"/>
      <c r="L14" s="149" t="str">
        <f t="shared" si="1"/>
        <v>Solicitar</v>
      </c>
      <c r="M14" s="150"/>
      <c r="N14" s="73"/>
      <c r="O14" s="75"/>
      <c r="P14" s="143" t="str">
        <f t="shared" ca="1" si="2"/>
        <v>Vencido</v>
      </c>
      <c r="Q14" s="144"/>
      <c r="R14" s="27"/>
      <c r="S14" s="39"/>
      <c r="T14" s="27"/>
      <c r="U14" s="39"/>
      <c r="V14" s="89"/>
      <c r="W14" s="115"/>
      <c r="X14" s="115"/>
      <c r="Y14" s="90"/>
    </row>
    <row r="15" spans="1:31" s="7" customFormat="1" ht="20.100000000000001" customHeight="1" x14ac:dyDescent="0.25">
      <c r="A15" s="73"/>
      <c r="B15" s="74"/>
      <c r="C15" s="75"/>
      <c r="D15" s="145" t="s">
        <v>13</v>
      </c>
      <c r="E15" s="145"/>
      <c r="F15" s="147">
        <v>4</v>
      </c>
      <c r="G15" s="147"/>
      <c r="H15" s="147"/>
      <c r="I15" s="148"/>
      <c r="J15" s="148"/>
      <c r="K15" s="148"/>
      <c r="L15" s="149" t="str">
        <f t="shared" si="1"/>
        <v>Solicitar</v>
      </c>
      <c r="M15" s="150"/>
      <c r="N15" s="73"/>
      <c r="O15" s="75"/>
      <c r="P15" s="143" t="str">
        <f t="shared" ca="1" si="2"/>
        <v>Vencido</v>
      </c>
      <c r="Q15" s="144"/>
      <c r="R15" s="27"/>
      <c r="S15" s="39"/>
      <c r="T15" s="27"/>
      <c r="U15" s="39"/>
      <c r="V15" s="89"/>
      <c r="W15" s="115"/>
      <c r="X15" s="115"/>
      <c r="Y15" s="90"/>
    </row>
    <row r="16" spans="1:31" s="7" customFormat="1" ht="20.100000000000001" customHeight="1" x14ac:dyDescent="0.25">
      <c r="A16" s="73"/>
      <c r="B16" s="74"/>
      <c r="C16" s="75"/>
      <c r="D16" s="143" t="s">
        <v>14</v>
      </c>
      <c r="E16" s="144"/>
      <c r="F16" s="154">
        <v>2</v>
      </c>
      <c r="G16" s="155"/>
      <c r="H16" s="156"/>
      <c r="I16" s="157"/>
      <c r="J16" s="157"/>
      <c r="K16" s="157"/>
      <c r="L16" s="149" t="str">
        <f>+IF(F16=I16,"Ok",IF(F16&gt;I16,"Solicitar"," "))</f>
        <v>Solicitar</v>
      </c>
      <c r="M16" s="150"/>
      <c r="N16" s="73"/>
      <c r="O16" s="75"/>
      <c r="P16" s="143" t="str">
        <f t="shared" ca="1" si="2"/>
        <v>Vencido</v>
      </c>
      <c r="Q16" s="144"/>
      <c r="R16" s="27"/>
      <c r="S16" s="39"/>
      <c r="T16" s="27"/>
      <c r="U16" s="39"/>
      <c r="V16" s="89"/>
      <c r="W16" s="115"/>
      <c r="X16" s="115"/>
      <c r="Y16" s="90"/>
      <c r="AA16" s="26"/>
    </row>
    <row r="17" spans="1:25" s="7" customFormat="1" ht="20.100000000000001" customHeight="1" x14ac:dyDescent="0.25">
      <c r="A17" s="73"/>
      <c r="B17" s="74"/>
      <c r="C17" s="75"/>
      <c r="D17" s="145" t="s">
        <v>15</v>
      </c>
      <c r="E17" s="145"/>
      <c r="F17" s="146">
        <v>2</v>
      </c>
      <c r="G17" s="146"/>
      <c r="H17" s="146"/>
      <c r="I17" s="164"/>
      <c r="J17" s="164"/>
      <c r="K17" s="164"/>
      <c r="L17" s="149" t="str">
        <f t="shared" si="1"/>
        <v>Solicitar</v>
      </c>
      <c r="M17" s="150"/>
      <c r="N17" s="73"/>
      <c r="O17" s="75"/>
      <c r="P17" s="143" t="str">
        <f t="shared" ca="1" si="2"/>
        <v>Vencido</v>
      </c>
      <c r="Q17" s="144"/>
      <c r="R17" s="27"/>
      <c r="S17" s="39"/>
      <c r="T17" s="27"/>
      <c r="U17" s="39"/>
      <c r="V17" s="89"/>
      <c r="W17" s="115"/>
      <c r="X17" s="115"/>
      <c r="Y17" s="90"/>
    </row>
    <row r="18" spans="1:25" s="7" customFormat="1" ht="20.100000000000001" customHeight="1" x14ac:dyDescent="0.25">
      <c r="A18" s="73"/>
      <c r="B18" s="74"/>
      <c r="C18" s="75"/>
      <c r="D18" s="145" t="s">
        <v>16</v>
      </c>
      <c r="E18" s="145"/>
      <c r="F18" s="162">
        <v>1</v>
      </c>
      <c r="G18" s="162"/>
      <c r="H18" s="162"/>
      <c r="I18" s="168"/>
      <c r="J18" s="168"/>
      <c r="K18" s="168"/>
      <c r="L18" s="149" t="str">
        <f t="shared" si="1"/>
        <v>Solicitar</v>
      </c>
      <c r="M18" s="150"/>
      <c r="N18" s="73"/>
      <c r="O18" s="75"/>
      <c r="P18" s="143" t="str">
        <f t="shared" ca="1" si="2"/>
        <v>Vencido</v>
      </c>
      <c r="Q18" s="144"/>
      <c r="R18" s="27"/>
      <c r="S18" s="39"/>
      <c r="T18" s="27"/>
      <c r="U18" s="39"/>
      <c r="V18" s="89"/>
      <c r="W18" s="115"/>
      <c r="X18" s="115"/>
      <c r="Y18" s="90"/>
    </row>
    <row r="19" spans="1:25" s="7" customFormat="1" ht="20.100000000000001" customHeight="1" x14ac:dyDescent="0.25">
      <c r="A19" s="73"/>
      <c r="B19" s="74"/>
      <c r="C19" s="75"/>
      <c r="D19" s="145" t="s">
        <v>17</v>
      </c>
      <c r="E19" s="145"/>
      <c r="F19" s="163">
        <v>1</v>
      </c>
      <c r="G19" s="163"/>
      <c r="H19" s="163"/>
      <c r="I19" s="161"/>
      <c r="J19" s="161"/>
      <c r="K19" s="161"/>
      <c r="L19" s="149" t="str">
        <f t="shared" si="1"/>
        <v>Solicitar</v>
      </c>
      <c r="M19" s="150"/>
      <c r="N19" s="73"/>
      <c r="O19" s="75"/>
      <c r="P19" s="143" t="str">
        <f t="shared" ca="1" si="2"/>
        <v>Vencido</v>
      </c>
      <c r="Q19" s="144"/>
      <c r="R19" s="27"/>
      <c r="S19" s="39"/>
      <c r="T19" s="27"/>
      <c r="U19" s="39"/>
      <c r="V19" s="89"/>
      <c r="W19" s="115"/>
      <c r="X19" s="115"/>
      <c r="Y19" s="90"/>
    </row>
    <row r="20" spans="1:25" s="7" customFormat="1" ht="20.100000000000001" customHeight="1" x14ac:dyDescent="0.25">
      <c r="A20" s="73"/>
      <c r="B20" s="74"/>
      <c r="C20" s="75"/>
      <c r="D20" s="145" t="s">
        <v>18</v>
      </c>
      <c r="E20" s="145"/>
      <c r="F20" s="163">
        <v>1</v>
      </c>
      <c r="G20" s="163"/>
      <c r="H20" s="163"/>
      <c r="I20" s="161"/>
      <c r="J20" s="161"/>
      <c r="K20" s="161"/>
      <c r="L20" s="149" t="str">
        <f t="shared" si="1"/>
        <v>Solicitar</v>
      </c>
      <c r="M20" s="150"/>
      <c r="N20" s="73"/>
      <c r="O20" s="75"/>
      <c r="P20" s="143" t="str">
        <f t="shared" ca="1" si="2"/>
        <v>Vencido</v>
      </c>
      <c r="Q20" s="144"/>
      <c r="R20" s="27"/>
      <c r="S20" s="39"/>
      <c r="T20" s="27"/>
      <c r="U20" s="39"/>
      <c r="V20" s="89"/>
      <c r="W20" s="115"/>
      <c r="X20" s="115"/>
      <c r="Y20" s="90"/>
    </row>
    <row r="21" spans="1:25" s="7" customFormat="1" ht="20.100000000000001" customHeight="1" x14ac:dyDescent="0.25">
      <c r="A21" s="73"/>
      <c r="B21" s="74"/>
      <c r="C21" s="75"/>
      <c r="D21" s="145" t="s">
        <v>19</v>
      </c>
      <c r="E21" s="145"/>
      <c r="F21" s="158">
        <v>1</v>
      </c>
      <c r="G21" s="159"/>
      <c r="H21" s="160"/>
      <c r="I21" s="151"/>
      <c r="J21" s="152"/>
      <c r="K21" s="153"/>
      <c r="L21" s="149" t="str">
        <f t="shared" si="1"/>
        <v>Solicitar</v>
      </c>
      <c r="M21" s="150"/>
      <c r="N21" s="73"/>
      <c r="O21" s="75"/>
      <c r="P21" s="143" t="str">
        <f t="shared" ca="1" si="2"/>
        <v>Vencido</v>
      </c>
      <c r="Q21" s="144"/>
      <c r="R21" s="27"/>
      <c r="S21" s="39"/>
      <c r="T21" s="27"/>
      <c r="U21" s="39"/>
      <c r="V21" s="89"/>
      <c r="W21" s="115"/>
      <c r="X21" s="115"/>
      <c r="Y21" s="90"/>
    </row>
    <row r="22" spans="1:25" s="7" customFormat="1" ht="20.100000000000001" customHeight="1" x14ac:dyDescent="0.25">
      <c r="A22" s="73"/>
      <c r="B22" s="74"/>
      <c r="C22" s="75"/>
      <c r="D22" s="145" t="s">
        <v>20</v>
      </c>
      <c r="E22" s="145"/>
      <c r="F22" s="158">
        <v>1</v>
      </c>
      <c r="G22" s="159"/>
      <c r="H22" s="160"/>
      <c r="I22" s="151"/>
      <c r="J22" s="152"/>
      <c r="K22" s="153"/>
      <c r="L22" s="149" t="str">
        <f t="shared" si="1"/>
        <v>Solicitar</v>
      </c>
      <c r="M22" s="150"/>
      <c r="N22" s="73"/>
      <c r="O22" s="75"/>
      <c r="P22" s="143" t="str">
        <f t="shared" ca="1" si="2"/>
        <v>Vencido</v>
      </c>
      <c r="Q22" s="144"/>
      <c r="R22" s="27"/>
      <c r="S22" s="39"/>
      <c r="T22" s="27"/>
      <c r="U22" s="39"/>
      <c r="V22" s="89"/>
      <c r="W22" s="115"/>
      <c r="X22" s="115"/>
      <c r="Y22" s="90"/>
    </row>
    <row r="23" spans="1:25" ht="18.75" customHeight="1" x14ac:dyDescent="0.25">
      <c r="A23" s="107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</row>
    <row r="24" spans="1:25" ht="18" customHeight="1" x14ac:dyDescent="0.25">
      <c r="A24" s="172" t="s">
        <v>28</v>
      </c>
      <c r="B24" s="173"/>
      <c r="C24" s="173"/>
      <c r="D24" s="173"/>
      <c r="E24" s="173"/>
      <c r="F24" s="182"/>
      <c r="G24" s="94" t="s">
        <v>230</v>
      </c>
      <c r="H24" s="95"/>
      <c r="I24" s="95"/>
      <c r="J24" s="96"/>
      <c r="K24" s="7"/>
      <c r="L24" s="169" t="s">
        <v>45</v>
      </c>
      <c r="M24" s="170"/>
      <c r="N24" s="98"/>
      <c r="O24" s="99"/>
      <c r="P24" s="99"/>
      <c r="Q24" s="100"/>
      <c r="R24" s="7"/>
      <c r="S24" s="180" t="s">
        <v>38</v>
      </c>
      <c r="T24" s="181"/>
      <c r="U24" s="132" t="s">
        <v>245</v>
      </c>
      <c r="V24" s="132"/>
      <c r="W24" s="132"/>
      <c r="X24" s="132"/>
      <c r="Y24" s="132"/>
    </row>
    <row r="25" spans="1:25" ht="6.75" customHeight="1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</row>
    <row r="26" spans="1:25" ht="33" customHeight="1" x14ac:dyDescent="0.25">
      <c r="A26" s="133" t="s">
        <v>42</v>
      </c>
      <c r="B26" s="133"/>
      <c r="C26" s="133"/>
      <c r="D26" s="133" t="s">
        <v>46</v>
      </c>
      <c r="E26" s="133"/>
      <c r="F26" s="133"/>
      <c r="G26" s="133"/>
      <c r="H26" s="133"/>
      <c r="I26" s="116" t="s">
        <v>35</v>
      </c>
      <c r="J26" s="117"/>
      <c r="K26" s="117"/>
      <c r="L26" s="117"/>
      <c r="M26" s="117"/>
      <c r="N26" s="117"/>
      <c r="O26" s="117"/>
      <c r="P26" s="117"/>
      <c r="Q26" s="118"/>
      <c r="R26" s="169" t="s">
        <v>40</v>
      </c>
      <c r="S26" s="170"/>
      <c r="T26" s="169" t="s">
        <v>37</v>
      </c>
      <c r="U26" s="170"/>
      <c r="V26" s="116" t="s">
        <v>0</v>
      </c>
      <c r="W26" s="117"/>
      <c r="X26" s="117"/>
      <c r="Y26" s="118"/>
    </row>
    <row r="27" spans="1:25" ht="33" customHeight="1" x14ac:dyDescent="0.25">
      <c r="A27" s="82" t="s">
        <v>236</v>
      </c>
      <c r="B27" s="83"/>
      <c r="C27" s="84"/>
      <c r="D27" s="77" t="s">
        <v>21</v>
      </c>
      <c r="E27" s="77"/>
      <c r="F27" s="77" t="s">
        <v>22</v>
      </c>
      <c r="G27" s="77"/>
      <c r="H27" s="77"/>
      <c r="I27" s="85" t="s">
        <v>23</v>
      </c>
      <c r="J27" s="171"/>
      <c r="K27" s="171"/>
      <c r="L27" s="171"/>
      <c r="M27" s="86"/>
      <c r="N27" s="85" t="s">
        <v>244</v>
      </c>
      <c r="O27" s="86"/>
      <c r="P27" s="85" t="s">
        <v>24</v>
      </c>
      <c r="Q27" s="86"/>
      <c r="R27" s="29" t="s">
        <v>5</v>
      </c>
      <c r="S27" s="29" t="s">
        <v>6</v>
      </c>
      <c r="T27" s="29" t="s">
        <v>5</v>
      </c>
      <c r="U27" s="29" t="s">
        <v>6</v>
      </c>
      <c r="V27" s="122"/>
      <c r="W27" s="123"/>
      <c r="X27" s="123"/>
      <c r="Y27" s="124"/>
    </row>
    <row r="28" spans="1:25" ht="20.100000000000001" customHeight="1" x14ac:dyDescent="0.25">
      <c r="A28" s="73"/>
      <c r="B28" s="74"/>
      <c r="C28" s="75"/>
      <c r="D28" s="145" t="s">
        <v>10</v>
      </c>
      <c r="E28" s="145"/>
      <c r="F28" s="174">
        <v>1</v>
      </c>
      <c r="G28" s="175"/>
      <c r="H28" s="176"/>
      <c r="I28" s="177"/>
      <c r="J28" s="178"/>
      <c r="K28" s="179"/>
      <c r="L28" s="149" t="str">
        <f>+IF(F28=I28,"Ok",IF(F28&gt;I28,"Solicitar"," "))</f>
        <v>Solicitar</v>
      </c>
      <c r="M28" s="150"/>
      <c r="N28" s="73"/>
      <c r="O28" s="75"/>
      <c r="P28" s="143" t="str">
        <f t="shared" ref="P28:P39" ca="1" si="3">IF(N28 &lt; TODAY(), "Vencido", IF(N28 = "No aplica","No aplica", DATEDIF(TODAY(),N28, "m")))</f>
        <v>Vencido</v>
      </c>
      <c r="Q28" s="144"/>
      <c r="R28" s="27"/>
      <c r="S28" s="38"/>
      <c r="T28" s="27"/>
      <c r="U28" s="38"/>
      <c r="V28" s="89"/>
      <c r="W28" s="115"/>
      <c r="X28" s="115"/>
      <c r="Y28" s="90"/>
    </row>
    <row r="29" spans="1:25" ht="20.100000000000001" customHeight="1" x14ac:dyDescent="0.25">
      <c r="A29" s="73"/>
      <c r="B29" s="74"/>
      <c r="C29" s="75"/>
      <c r="D29" s="145" t="s">
        <v>11</v>
      </c>
      <c r="E29" s="145"/>
      <c r="F29" s="167">
        <v>4</v>
      </c>
      <c r="G29" s="167"/>
      <c r="H29" s="167"/>
      <c r="I29" s="165"/>
      <c r="J29" s="165"/>
      <c r="K29" s="165"/>
      <c r="L29" s="149" t="str">
        <f t="shared" ref="L29:L32" si="4">+IF(F29=I29,"Ok",IF(F29&gt;I29,"Solicitar"," "))</f>
        <v>Solicitar</v>
      </c>
      <c r="M29" s="150"/>
      <c r="N29" s="73"/>
      <c r="O29" s="75"/>
      <c r="P29" s="143" t="str">
        <f t="shared" ca="1" si="3"/>
        <v>Vencido</v>
      </c>
      <c r="Q29" s="144"/>
      <c r="R29" s="27"/>
      <c r="S29" s="38"/>
      <c r="T29" s="27"/>
      <c r="U29" s="38"/>
      <c r="V29" s="89"/>
      <c r="W29" s="115"/>
      <c r="X29" s="115"/>
      <c r="Y29" s="90"/>
    </row>
    <row r="30" spans="1:25" ht="20.100000000000001" customHeight="1" x14ac:dyDescent="0.25">
      <c r="A30" s="73"/>
      <c r="B30" s="74"/>
      <c r="C30" s="75"/>
      <c r="D30" s="145" t="s">
        <v>36</v>
      </c>
      <c r="E30" s="145"/>
      <c r="F30" s="147">
        <v>3</v>
      </c>
      <c r="G30" s="147"/>
      <c r="H30" s="147"/>
      <c r="I30" s="148"/>
      <c r="J30" s="148"/>
      <c r="K30" s="148"/>
      <c r="L30" s="149" t="str">
        <f t="shared" si="4"/>
        <v>Solicitar</v>
      </c>
      <c r="M30" s="150"/>
      <c r="N30" s="73"/>
      <c r="O30" s="75"/>
      <c r="P30" s="143" t="str">
        <f t="shared" ca="1" si="3"/>
        <v>Vencido</v>
      </c>
      <c r="Q30" s="144"/>
      <c r="R30" s="27"/>
      <c r="S30" s="38"/>
      <c r="T30" s="27"/>
      <c r="U30" s="38"/>
      <c r="V30" s="89"/>
      <c r="W30" s="115"/>
      <c r="X30" s="115"/>
      <c r="Y30" s="90"/>
    </row>
    <row r="31" spans="1:25" ht="27" customHeight="1" x14ac:dyDescent="0.25">
      <c r="A31" s="73"/>
      <c r="B31" s="74"/>
      <c r="C31" s="75"/>
      <c r="D31" s="166" t="s">
        <v>12</v>
      </c>
      <c r="E31" s="166"/>
      <c r="F31" s="147">
        <v>3</v>
      </c>
      <c r="G31" s="147"/>
      <c r="H31" s="147"/>
      <c r="I31" s="148"/>
      <c r="J31" s="148"/>
      <c r="K31" s="148"/>
      <c r="L31" s="149" t="str">
        <f t="shared" si="4"/>
        <v>Solicitar</v>
      </c>
      <c r="M31" s="150"/>
      <c r="N31" s="73"/>
      <c r="O31" s="75"/>
      <c r="P31" s="143" t="str">
        <f t="shared" ca="1" si="3"/>
        <v>Vencido</v>
      </c>
      <c r="Q31" s="144"/>
      <c r="R31" s="27"/>
      <c r="S31" s="38"/>
      <c r="T31" s="27"/>
      <c r="U31" s="38"/>
      <c r="V31" s="89"/>
      <c r="W31" s="115"/>
      <c r="X31" s="115"/>
      <c r="Y31" s="90"/>
    </row>
    <row r="32" spans="1:25" ht="20.100000000000001" customHeight="1" x14ac:dyDescent="0.25">
      <c r="A32" s="73"/>
      <c r="B32" s="74"/>
      <c r="C32" s="75"/>
      <c r="D32" s="145" t="s">
        <v>13</v>
      </c>
      <c r="E32" s="145"/>
      <c r="F32" s="147">
        <v>4</v>
      </c>
      <c r="G32" s="147"/>
      <c r="H32" s="147"/>
      <c r="I32" s="148"/>
      <c r="J32" s="148"/>
      <c r="K32" s="148"/>
      <c r="L32" s="149" t="str">
        <f t="shared" si="4"/>
        <v>Solicitar</v>
      </c>
      <c r="M32" s="150"/>
      <c r="N32" s="73"/>
      <c r="O32" s="75"/>
      <c r="P32" s="143" t="str">
        <f t="shared" ca="1" si="3"/>
        <v>Vencido</v>
      </c>
      <c r="Q32" s="144"/>
      <c r="R32" s="27"/>
      <c r="S32" s="38"/>
      <c r="T32" s="27"/>
      <c r="U32" s="38"/>
      <c r="V32" s="89"/>
      <c r="W32" s="115"/>
      <c r="X32" s="115"/>
      <c r="Y32" s="90"/>
    </row>
    <row r="33" spans="1:25" ht="20.100000000000001" customHeight="1" x14ac:dyDescent="0.25">
      <c r="A33" s="73"/>
      <c r="B33" s="74"/>
      <c r="C33" s="75"/>
      <c r="D33" s="143" t="s">
        <v>14</v>
      </c>
      <c r="E33" s="144"/>
      <c r="F33" s="154">
        <v>2</v>
      </c>
      <c r="G33" s="155"/>
      <c r="H33" s="156"/>
      <c r="I33" s="157"/>
      <c r="J33" s="157"/>
      <c r="K33" s="157"/>
      <c r="L33" s="149" t="str">
        <f>+IF(F33=I33,"Ok",IF(F33&gt;I33,"Solicitar"," "))</f>
        <v>Solicitar</v>
      </c>
      <c r="M33" s="150"/>
      <c r="N33" s="73"/>
      <c r="O33" s="75"/>
      <c r="P33" s="143" t="str">
        <f t="shared" ca="1" si="3"/>
        <v>Vencido</v>
      </c>
      <c r="Q33" s="144"/>
      <c r="R33" s="27"/>
      <c r="S33" s="38"/>
      <c r="T33" s="27"/>
      <c r="U33" s="38"/>
      <c r="V33" s="89"/>
      <c r="W33" s="115"/>
      <c r="X33" s="115"/>
      <c r="Y33" s="90"/>
    </row>
    <row r="34" spans="1:25" ht="20.100000000000001" customHeight="1" x14ac:dyDescent="0.25">
      <c r="A34" s="73"/>
      <c r="B34" s="74"/>
      <c r="C34" s="75"/>
      <c r="D34" s="145" t="s">
        <v>15</v>
      </c>
      <c r="E34" s="145"/>
      <c r="F34" s="146">
        <v>2</v>
      </c>
      <c r="G34" s="146"/>
      <c r="H34" s="146"/>
      <c r="I34" s="164"/>
      <c r="J34" s="164"/>
      <c r="K34" s="164"/>
      <c r="L34" s="149" t="str">
        <f t="shared" ref="L34:L39" si="5">+IF(F34=I34,"Ok",IF(F34&gt;I34,"Solicitar"," "))</f>
        <v>Solicitar</v>
      </c>
      <c r="M34" s="150"/>
      <c r="N34" s="73"/>
      <c r="O34" s="75"/>
      <c r="P34" s="143" t="str">
        <f t="shared" ca="1" si="3"/>
        <v>Vencido</v>
      </c>
      <c r="Q34" s="144"/>
      <c r="R34" s="27"/>
      <c r="S34" s="38"/>
      <c r="T34" s="27"/>
      <c r="U34" s="38"/>
      <c r="V34" s="89"/>
      <c r="W34" s="115"/>
      <c r="X34" s="115"/>
      <c r="Y34" s="90"/>
    </row>
    <row r="35" spans="1:25" ht="20.100000000000001" customHeight="1" x14ac:dyDescent="0.25">
      <c r="A35" s="73"/>
      <c r="B35" s="74"/>
      <c r="C35" s="75"/>
      <c r="D35" s="145" t="s">
        <v>16</v>
      </c>
      <c r="E35" s="145"/>
      <c r="F35" s="162">
        <v>1</v>
      </c>
      <c r="G35" s="162"/>
      <c r="H35" s="162"/>
      <c r="I35" s="168"/>
      <c r="J35" s="168"/>
      <c r="K35" s="168"/>
      <c r="L35" s="149" t="str">
        <f t="shared" si="5"/>
        <v>Solicitar</v>
      </c>
      <c r="M35" s="150"/>
      <c r="N35" s="73"/>
      <c r="O35" s="75"/>
      <c r="P35" s="143" t="str">
        <f t="shared" ca="1" si="3"/>
        <v>Vencido</v>
      </c>
      <c r="Q35" s="144"/>
      <c r="R35" s="27"/>
      <c r="S35" s="38"/>
      <c r="T35" s="27"/>
      <c r="U35" s="38"/>
      <c r="V35" s="89"/>
      <c r="W35" s="115"/>
      <c r="X35" s="115"/>
      <c r="Y35" s="90"/>
    </row>
    <row r="36" spans="1:25" ht="20.100000000000001" customHeight="1" x14ac:dyDescent="0.25">
      <c r="A36" s="73"/>
      <c r="B36" s="74"/>
      <c r="C36" s="75"/>
      <c r="D36" s="145" t="s">
        <v>17</v>
      </c>
      <c r="E36" s="145"/>
      <c r="F36" s="163">
        <v>1</v>
      </c>
      <c r="G36" s="163"/>
      <c r="H36" s="163"/>
      <c r="I36" s="161"/>
      <c r="J36" s="161"/>
      <c r="K36" s="161"/>
      <c r="L36" s="149" t="str">
        <f t="shared" si="5"/>
        <v>Solicitar</v>
      </c>
      <c r="M36" s="150"/>
      <c r="N36" s="73"/>
      <c r="O36" s="75"/>
      <c r="P36" s="143" t="str">
        <f t="shared" ca="1" si="3"/>
        <v>Vencido</v>
      </c>
      <c r="Q36" s="144"/>
      <c r="R36" s="27"/>
      <c r="S36" s="38"/>
      <c r="T36" s="27"/>
      <c r="U36" s="38"/>
      <c r="V36" s="89"/>
      <c r="W36" s="115"/>
      <c r="X36" s="115"/>
      <c r="Y36" s="90"/>
    </row>
    <row r="37" spans="1:25" ht="20.100000000000001" customHeight="1" x14ac:dyDescent="0.25">
      <c r="A37" s="73"/>
      <c r="B37" s="74"/>
      <c r="C37" s="75"/>
      <c r="D37" s="145" t="s">
        <v>18</v>
      </c>
      <c r="E37" s="145"/>
      <c r="F37" s="163">
        <v>1</v>
      </c>
      <c r="G37" s="163"/>
      <c r="H37" s="163"/>
      <c r="I37" s="161"/>
      <c r="J37" s="161"/>
      <c r="K37" s="161"/>
      <c r="L37" s="149" t="str">
        <f t="shared" si="5"/>
        <v>Solicitar</v>
      </c>
      <c r="M37" s="150"/>
      <c r="N37" s="73"/>
      <c r="O37" s="75"/>
      <c r="P37" s="143" t="str">
        <f t="shared" ca="1" si="3"/>
        <v>Vencido</v>
      </c>
      <c r="Q37" s="144"/>
      <c r="R37" s="27"/>
      <c r="S37" s="38"/>
      <c r="T37" s="27"/>
      <c r="U37" s="38"/>
      <c r="V37" s="89"/>
      <c r="W37" s="115"/>
      <c r="X37" s="115"/>
      <c r="Y37" s="90"/>
    </row>
    <row r="38" spans="1:25" ht="20.100000000000001" customHeight="1" x14ac:dyDescent="0.25">
      <c r="A38" s="73"/>
      <c r="B38" s="74"/>
      <c r="C38" s="75"/>
      <c r="D38" s="145" t="s">
        <v>19</v>
      </c>
      <c r="E38" s="145"/>
      <c r="F38" s="158">
        <v>1</v>
      </c>
      <c r="G38" s="159"/>
      <c r="H38" s="160"/>
      <c r="I38" s="151"/>
      <c r="J38" s="152"/>
      <c r="K38" s="153"/>
      <c r="L38" s="149" t="str">
        <f t="shared" si="5"/>
        <v>Solicitar</v>
      </c>
      <c r="M38" s="150"/>
      <c r="N38" s="73"/>
      <c r="O38" s="75"/>
      <c r="P38" s="143" t="str">
        <f t="shared" ca="1" si="3"/>
        <v>Vencido</v>
      </c>
      <c r="Q38" s="144"/>
      <c r="R38" s="27"/>
      <c r="S38" s="38"/>
      <c r="T38" s="27"/>
      <c r="U38" s="38"/>
      <c r="V38" s="89"/>
      <c r="W38" s="115"/>
      <c r="X38" s="115"/>
      <c r="Y38" s="90"/>
    </row>
    <row r="39" spans="1:25" ht="20.100000000000001" customHeight="1" x14ac:dyDescent="0.25">
      <c r="A39" s="73"/>
      <c r="B39" s="74"/>
      <c r="C39" s="75"/>
      <c r="D39" s="145" t="s">
        <v>20</v>
      </c>
      <c r="E39" s="145"/>
      <c r="F39" s="158">
        <v>1</v>
      </c>
      <c r="G39" s="159"/>
      <c r="H39" s="160"/>
      <c r="I39" s="151"/>
      <c r="J39" s="152"/>
      <c r="K39" s="153"/>
      <c r="L39" s="149" t="str">
        <f t="shared" si="5"/>
        <v>Solicitar</v>
      </c>
      <c r="M39" s="150"/>
      <c r="N39" s="73"/>
      <c r="O39" s="75"/>
      <c r="P39" s="143" t="str">
        <f t="shared" ca="1" si="3"/>
        <v>Vencido</v>
      </c>
      <c r="Q39" s="144"/>
      <c r="R39" s="27"/>
      <c r="S39" s="38"/>
      <c r="T39" s="27"/>
      <c r="U39" s="38"/>
      <c r="V39" s="89"/>
      <c r="W39" s="115"/>
      <c r="X39" s="115"/>
      <c r="Y39" s="90"/>
    </row>
    <row r="40" spans="1:25" x14ac:dyDescent="0.25">
      <c r="A40" s="107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</row>
    <row r="41" spans="1:25" ht="18" customHeight="1" x14ac:dyDescent="0.25">
      <c r="A41" s="172" t="s">
        <v>28</v>
      </c>
      <c r="B41" s="173"/>
      <c r="C41" s="173"/>
      <c r="D41" s="173"/>
      <c r="E41" s="173"/>
      <c r="F41" s="182"/>
      <c r="G41" s="94" t="s">
        <v>231</v>
      </c>
      <c r="H41" s="95"/>
      <c r="I41" s="95"/>
      <c r="J41" s="96"/>
      <c r="K41" s="7"/>
      <c r="L41" s="169" t="s">
        <v>45</v>
      </c>
      <c r="M41" s="170"/>
      <c r="N41" s="98"/>
      <c r="O41" s="99"/>
      <c r="P41" s="99"/>
      <c r="Q41" s="100"/>
      <c r="R41" s="7"/>
      <c r="S41" s="180" t="s">
        <v>38</v>
      </c>
      <c r="T41" s="181"/>
      <c r="U41" s="132" t="s">
        <v>245</v>
      </c>
      <c r="V41" s="132"/>
      <c r="W41" s="132"/>
      <c r="X41" s="132"/>
      <c r="Y41" s="132"/>
    </row>
    <row r="42" spans="1:25" ht="6.75" customHeight="1" x14ac:dyDescent="0.25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</row>
    <row r="43" spans="1:25" ht="34.5" customHeight="1" x14ac:dyDescent="0.25">
      <c r="A43" s="133" t="s">
        <v>42</v>
      </c>
      <c r="B43" s="133"/>
      <c r="C43" s="133"/>
      <c r="D43" s="133" t="s">
        <v>46</v>
      </c>
      <c r="E43" s="133"/>
      <c r="F43" s="133"/>
      <c r="G43" s="133"/>
      <c r="H43" s="133"/>
      <c r="I43" s="116" t="s">
        <v>35</v>
      </c>
      <c r="J43" s="117"/>
      <c r="K43" s="117"/>
      <c r="L43" s="117"/>
      <c r="M43" s="117"/>
      <c r="N43" s="117"/>
      <c r="O43" s="117"/>
      <c r="P43" s="117"/>
      <c r="Q43" s="118"/>
      <c r="R43" s="169" t="s">
        <v>40</v>
      </c>
      <c r="S43" s="170"/>
      <c r="T43" s="169" t="s">
        <v>37</v>
      </c>
      <c r="U43" s="170"/>
      <c r="V43" s="116" t="s">
        <v>0</v>
      </c>
      <c r="W43" s="117"/>
      <c r="X43" s="117"/>
      <c r="Y43" s="118"/>
    </row>
    <row r="44" spans="1:25" ht="36" customHeight="1" x14ac:dyDescent="0.25">
      <c r="A44" s="82" t="s">
        <v>236</v>
      </c>
      <c r="B44" s="83"/>
      <c r="C44" s="84"/>
      <c r="D44" s="77" t="s">
        <v>21</v>
      </c>
      <c r="E44" s="77"/>
      <c r="F44" s="77" t="s">
        <v>22</v>
      </c>
      <c r="G44" s="77"/>
      <c r="H44" s="77"/>
      <c r="I44" s="85" t="s">
        <v>23</v>
      </c>
      <c r="J44" s="171"/>
      <c r="K44" s="171"/>
      <c r="L44" s="171"/>
      <c r="M44" s="86"/>
      <c r="N44" s="85" t="s">
        <v>244</v>
      </c>
      <c r="O44" s="86"/>
      <c r="P44" s="85" t="s">
        <v>24</v>
      </c>
      <c r="Q44" s="86"/>
      <c r="R44" s="29" t="s">
        <v>5</v>
      </c>
      <c r="S44" s="29" t="s">
        <v>6</v>
      </c>
      <c r="T44" s="29" t="s">
        <v>5</v>
      </c>
      <c r="U44" s="29" t="s">
        <v>6</v>
      </c>
      <c r="V44" s="122"/>
      <c r="W44" s="123"/>
      <c r="X44" s="123"/>
      <c r="Y44" s="124"/>
    </row>
    <row r="45" spans="1:25" ht="20.100000000000001" customHeight="1" x14ac:dyDescent="0.25">
      <c r="A45" s="73"/>
      <c r="B45" s="74"/>
      <c r="C45" s="75"/>
      <c r="D45" s="145" t="s">
        <v>10</v>
      </c>
      <c r="E45" s="145"/>
      <c r="F45" s="174">
        <v>1</v>
      </c>
      <c r="G45" s="175"/>
      <c r="H45" s="176"/>
      <c r="I45" s="177"/>
      <c r="J45" s="178"/>
      <c r="K45" s="179"/>
      <c r="L45" s="149" t="str">
        <f>+IF(F45=I45,"Ok",IF(F45&gt;I45,"Solicitar"," "))</f>
        <v>Solicitar</v>
      </c>
      <c r="M45" s="150"/>
      <c r="N45" s="73"/>
      <c r="O45" s="75"/>
      <c r="P45" s="143" t="str">
        <f t="shared" ref="P45:P56" ca="1" si="6">IF(N45 &lt; TODAY(), "Vencido", IF(N45 = "No aplica","No aplica", DATEDIF(TODAY(),N45, "m")))</f>
        <v>Vencido</v>
      </c>
      <c r="Q45" s="144"/>
      <c r="R45" s="27"/>
      <c r="S45" s="38"/>
      <c r="T45" s="27"/>
      <c r="U45" s="38"/>
      <c r="V45" s="89"/>
      <c r="W45" s="115"/>
      <c r="X45" s="115"/>
      <c r="Y45" s="90"/>
    </row>
    <row r="46" spans="1:25" ht="20.100000000000001" customHeight="1" x14ac:dyDescent="0.25">
      <c r="A46" s="73"/>
      <c r="B46" s="74"/>
      <c r="C46" s="75"/>
      <c r="D46" s="145" t="s">
        <v>11</v>
      </c>
      <c r="E46" s="145"/>
      <c r="F46" s="167">
        <v>4</v>
      </c>
      <c r="G46" s="167"/>
      <c r="H46" s="167"/>
      <c r="I46" s="165"/>
      <c r="J46" s="165"/>
      <c r="K46" s="165"/>
      <c r="L46" s="149" t="str">
        <f t="shared" ref="L46:L49" si="7">+IF(F46=I46,"Ok",IF(F46&gt;I46,"Solicitar"," "))</f>
        <v>Solicitar</v>
      </c>
      <c r="M46" s="150"/>
      <c r="N46" s="73"/>
      <c r="O46" s="75"/>
      <c r="P46" s="143" t="str">
        <f t="shared" ca="1" si="6"/>
        <v>Vencido</v>
      </c>
      <c r="Q46" s="144"/>
      <c r="R46" s="27"/>
      <c r="S46" s="38"/>
      <c r="T46" s="27"/>
      <c r="U46" s="38"/>
      <c r="V46" s="89"/>
      <c r="W46" s="115"/>
      <c r="X46" s="115"/>
      <c r="Y46" s="90"/>
    </row>
    <row r="47" spans="1:25" ht="20.100000000000001" customHeight="1" x14ac:dyDescent="0.25">
      <c r="A47" s="73"/>
      <c r="B47" s="74"/>
      <c r="C47" s="75"/>
      <c r="D47" s="145" t="s">
        <v>36</v>
      </c>
      <c r="E47" s="145"/>
      <c r="F47" s="147">
        <v>3</v>
      </c>
      <c r="G47" s="147"/>
      <c r="H47" s="147"/>
      <c r="I47" s="148"/>
      <c r="J47" s="148"/>
      <c r="K47" s="148"/>
      <c r="L47" s="149" t="str">
        <f t="shared" si="7"/>
        <v>Solicitar</v>
      </c>
      <c r="M47" s="150"/>
      <c r="N47" s="73"/>
      <c r="O47" s="75"/>
      <c r="P47" s="143" t="str">
        <f t="shared" ca="1" si="6"/>
        <v>Vencido</v>
      </c>
      <c r="Q47" s="144"/>
      <c r="R47" s="27"/>
      <c r="S47" s="38"/>
      <c r="T47" s="27"/>
      <c r="U47" s="38"/>
      <c r="V47" s="89"/>
      <c r="W47" s="115"/>
      <c r="X47" s="115"/>
      <c r="Y47" s="90"/>
    </row>
    <row r="48" spans="1:25" ht="31.5" customHeight="1" x14ac:dyDescent="0.25">
      <c r="A48" s="73"/>
      <c r="B48" s="74"/>
      <c r="C48" s="75"/>
      <c r="D48" s="166" t="s">
        <v>12</v>
      </c>
      <c r="E48" s="166"/>
      <c r="F48" s="147">
        <v>3</v>
      </c>
      <c r="G48" s="147"/>
      <c r="H48" s="147"/>
      <c r="I48" s="148"/>
      <c r="J48" s="148"/>
      <c r="K48" s="148"/>
      <c r="L48" s="149" t="str">
        <f t="shared" si="7"/>
        <v>Solicitar</v>
      </c>
      <c r="M48" s="150"/>
      <c r="N48" s="73"/>
      <c r="O48" s="75"/>
      <c r="P48" s="143" t="str">
        <f t="shared" ca="1" si="6"/>
        <v>Vencido</v>
      </c>
      <c r="Q48" s="144"/>
      <c r="R48" s="27"/>
      <c r="S48" s="38"/>
      <c r="T48" s="27"/>
      <c r="U48" s="38"/>
      <c r="V48" s="89"/>
      <c r="W48" s="115"/>
      <c r="X48" s="115"/>
      <c r="Y48" s="90"/>
    </row>
    <row r="49" spans="1:25" ht="20.100000000000001" customHeight="1" x14ac:dyDescent="0.25">
      <c r="A49" s="73"/>
      <c r="B49" s="74"/>
      <c r="C49" s="75"/>
      <c r="D49" s="145" t="s">
        <v>13</v>
      </c>
      <c r="E49" s="145"/>
      <c r="F49" s="147">
        <v>4</v>
      </c>
      <c r="G49" s="147"/>
      <c r="H49" s="147"/>
      <c r="I49" s="148"/>
      <c r="J49" s="148"/>
      <c r="K49" s="148"/>
      <c r="L49" s="149" t="str">
        <f t="shared" si="7"/>
        <v>Solicitar</v>
      </c>
      <c r="M49" s="150"/>
      <c r="N49" s="73"/>
      <c r="O49" s="75"/>
      <c r="P49" s="143" t="str">
        <f t="shared" ca="1" si="6"/>
        <v>Vencido</v>
      </c>
      <c r="Q49" s="144"/>
      <c r="R49" s="27"/>
      <c r="S49" s="38"/>
      <c r="T49" s="27"/>
      <c r="U49" s="38"/>
      <c r="V49" s="89"/>
      <c r="W49" s="115"/>
      <c r="X49" s="115"/>
      <c r="Y49" s="90"/>
    </row>
    <row r="50" spans="1:25" ht="20.100000000000001" customHeight="1" x14ac:dyDescent="0.25">
      <c r="A50" s="73"/>
      <c r="B50" s="74"/>
      <c r="C50" s="75"/>
      <c r="D50" s="143" t="s">
        <v>14</v>
      </c>
      <c r="E50" s="144"/>
      <c r="F50" s="154">
        <v>2</v>
      </c>
      <c r="G50" s="155"/>
      <c r="H50" s="156"/>
      <c r="I50" s="157"/>
      <c r="J50" s="157"/>
      <c r="K50" s="157"/>
      <c r="L50" s="149" t="str">
        <f>+IF(F50=I50,"Ok",IF(F50&gt;I50,"Solicitar"," "))</f>
        <v>Solicitar</v>
      </c>
      <c r="M50" s="150"/>
      <c r="N50" s="73"/>
      <c r="O50" s="75"/>
      <c r="P50" s="143" t="str">
        <f t="shared" ca="1" si="6"/>
        <v>Vencido</v>
      </c>
      <c r="Q50" s="144"/>
      <c r="R50" s="27"/>
      <c r="S50" s="38"/>
      <c r="T50" s="27"/>
      <c r="U50" s="38"/>
      <c r="V50" s="89"/>
      <c r="W50" s="115"/>
      <c r="X50" s="115"/>
      <c r="Y50" s="90"/>
    </row>
    <row r="51" spans="1:25" ht="20.100000000000001" customHeight="1" x14ac:dyDescent="0.25">
      <c r="A51" s="73"/>
      <c r="B51" s="74"/>
      <c r="C51" s="75"/>
      <c r="D51" s="145" t="s">
        <v>15</v>
      </c>
      <c r="E51" s="145"/>
      <c r="F51" s="146">
        <v>2</v>
      </c>
      <c r="G51" s="146"/>
      <c r="H51" s="146"/>
      <c r="I51" s="164"/>
      <c r="J51" s="164"/>
      <c r="K51" s="164"/>
      <c r="L51" s="149" t="str">
        <f t="shared" ref="L51:L56" si="8">+IF(F51=I51,"Ok",IF(F51&gt;I51,"Solicitar"," "))</f>
        <v>Solicitar</v>
      </c>
      <c r="M51" s="150"/>
      <c r="N51" s="73"/>
      <c r="O51" s="75"/>
      <c r="P51" s="143" t="str">
        <f t="shared" ca="1" si="6"/>
        <v>Vencido</v>
      </c>
      <c r="Q51" s="144"/>
      <c r="R51" s="27"/>
      <c r="S51" s="38"/>
      <c r="T51" s="27"/>
      <c r="U51" s="38"/>
      <c r="V51" s="89"/>
      <c r="W51" s="115"/>
      <c r="X51" s="115"/>
      <c r="Y51" s="90"/>
    </row>
    <row r="52" spans="1:25" ht="20.100000000000001" customHeight="1" x14ac:dyDescent="0.25">
      <c r="A52" s="73"/>
      <c r="B52" s="74"/>
      <c r="C52" s="75"/>
      <c r="D52" s="145" t="s">
        <v>16</v>
      </c>
      <c r="E52" s="145"/>
      <c r="F52" s="162">
        <v>1</v>
      </c>
      <c r="G52" s="162"/>
      <c r="H52" s="162"/>
      <c r="I52" s="168"/>
      <c r="J52" s="168"/>
      <c r="K52" s="168"/>
      <c r="L52" s="149" t="str">
        <f t="shared" si="8"/>
        <v>Solicitar</v>
      </c>
      <c r="M52" s="150"/>
      <c r="N52" s="73"/>
      <c r="O52" s="75"/>
      <c r="P52" s="143" t="str">
        <f t="shared" ca="1" si="6"/>
        <v>Vencido</v>
      </c>
      <c r="Q52" s="144"/>
      <c r="R52" s="27"/>
      <c r="S52" s="38"/>
      <c r="T52" s="27"/>
      <c r="U52" s="38"/>
      <c r="V52" s="89"/>
      <c r="W52" s="115"/>
      <c r="X52" s="115"/>
      <c r="Y52" s="90"/>
    </row>
    <row r="53" spans="1:25" ht="20.100000000000001" customHeight="1" x14ac:dyDescent="0.25">
      <c r="A53" s="73"/>
      <c r="B53" s="74"/>
      <c r="C53" s="75"/>
      <c r="D53" s="145" t="s">
        <v>17</v>
      </c>
      <c r="E53" s="145"/>
      <c r="F53" s="163">
        <v>1</v>
      </c>
      <c r="G53" s="163"/>
      <c r="H53" s="163"/>
      <c r="I53" s="161"/>
      <c r="J53" s="161"/>
      <c r="K53" s="161"/>
      <c r="L53" s="149" t="str">
        <f t="shared" si="8"/>
        <v>Solicitar</v>
      </c>
      <c r="M53" s="150"/>
      <c r="N53" s="73"/>
      <c r="O53" s="75"/>
      <c r="P53" s="143" t="str">
        <f t="shared" ca="1" si="6"/>
        <v>Vencido</v>
      </c>
      <c r="Q53" s="144"/>
      <c r="R53" s="27"/>
      <c r="S53" s="38"/>
      <c r="T53" s="27"/>
      <c r="U53" s="38"/>
      <c r="V53" s="89"/>
      <c r="W53" s="115"/>
      <c r="X53" s="115"/>
      <c r="Y53" s="90"/>
    </row>
    <row r="54" spans="1:25" ht="20.100000000000001" customHeight="1" x14ac:dyDescent="0.25">
      <c r="A54" s="73"/>
      <c r="B54" s="74"/>
      <c r="C54" s="75"/>
      <c r="D54" s="145" t="s">
        <v>18</v>
      </c>
      <c r="E54" s="145"/>
      <c r="F54" s="163">
        <v>1</v>
      </c>
      <c r="G54" s="163"/>
      <c r="H54" s="163"/>
      <c r="I54" s="161"/>
      <c r="J54" s="161"/>
      <c r="K54" s="161"/>
      <c r="L54" s="149" t="str">
        <f t="shared" si="8"/>
        <v>Solicitar</v>
      </c>
      <c r="M54" s="150"/>
      <c r="N54" s="73"/>
      <c r="O54" s="75"/>
      <c r="P54" s="143" t="str">
        <f t="shared" ca="1" si="6"/>
        <v>Vencido</v>
      </c>
      <c r="Q54" s="144"/>
      <c r="R54" s="27"/>
      <c r="S54" s="38"/>
      <c r="T54" s="27"/>
      <c r="U54" s="38"/>
      <c r="V54" s="89"/>
      <c r="W54" s="115"/>
      <c r="X54" s="115"/>
      <c r="Y54" s="90"/>
    </row>
    <row r="55" spans="1:25" ht="20.100000000000001" customHeight="1" x14ac:dyDescent="0.25">
      <c r="A55" s="73"/>
      <c r="B55" s="74"/>
      <c r="C55" s="75"/>
      <c r="D55" s="145" t="s">
        <v>19</v>
      </c>
      <c r="E55" s="145"/>
      <c r="F55" s="158">
        <v>1</v>
      </c>
      <c r="G55" s="159"/>
      <c r="H55" s="160"/>
      <c r="I55" s="151"/>
      <c r="J55" s="152"/>
      <c r="K55" s="153"/>
      <c r="L55" s="149" t="str">
        <f t="shared" si="8"/>
        <v>Solicitar</v>
      </c>
      <c r="M55" s="150"/>
      <c r="N55" s="73"/>
      <c r="O55" s="75"/>
      <c r="P55" s="143" t="str">
        <f t="shared" ca="1" si="6"/>
        <v>Vencido</v>
      </c>
      <c r="Q55" s="144"/>
      <c r="R55" s="27"/>
      <c r="S55" s="38"/>
      <c r="T55" s="27"/>
      <c r="U55" s="38"/>
      <c r="V55" s="89"/>
      <c r="W55" s="115"/>
      <c r="X55" s="115"/>
      <c r="Y55" s="90"/>
    </row>
    <row r="56" spans="1:25" ht="20.100000000000001" customHeight="1" x14ac:dyDescent="0.25">
      <c r="A56" s="73"/>
      <c r="B56" s="74"/>
      <c r="C56" s="75"/>
      <c r="D56" s="145" t="s">
        <v>20</v>
      </c>
      <c r="E56" s="145"/>
      <c r="F56" s="158">
        <v>1</v>
      </c>
      <c r="G56" s="159"/>
      <c r="H56" s="160"/>
      <c r="I56" s="151"/>
      <c r="J56" s="152"/>
      <c r="K56" s="153"/>
      <c r="L56" s="149" t="str">
        <f t="shared" si="8"/>
        <v>Solicitar</v>
      </c>
      <c r="M56" s="150"/>
      <c r="N56" s="73"/>
      <c r="O56" s="75"/>
      <c r="P56" s="143" t="str">
        <f t="shared" ca="1" si="6"/>
        <v>Vencido</v>
      </c>
      <c r="Q56" s="144"/>
      <c r="R56" s="27"/>
      <c r="S56" s="38"/>
      <c r="T56" s="27"/>
      <c r="U56" s="38"/>
      <c r="V56" s="89"/>
      <c r="W56" s="115"/>
      <c r="X56" s="115"/>
      <c r="Y56" s="90"/>
    </row>
  </sheetData>
  <sheetProtection algorithmName="SHA-512" hashValue="6LIt/2miykCqiadA+y+jybgxr0Zwhr3q3ePDxKsckIACDZPI5uieA4W28w5vYigeIugTlt9TVgMOyU6E5oMi4g==" saltValue="sb68HNNwb2/j84Y4vTgL/g==" spinCount="100000" sheet="1" objects="1" scenarios="1" formatCells="0" formatColumns="0" formatRows="0" insertRows="0" deleteColumns="0" deleteRows="0"/>
  <mergeCells count="359">
    <mergeCell ref="V55:Y55"/>
    <mergeCell ref="A56:C56"/>
    <mergeCell ref="D56:E56"/>
    <mergeCell ref="F56:H56"/>
    <mergeCell ref="I56:K56"/>
    <mergeCell ref="L56:M56"/>
    <mergeCell ref="N56:O56"/>
    <mergeCell ref="P56:Q56"/>
    <mergeCell ref="V56:Y56"/>
    <mergeCell ref="A55:C55"/>
    <mergeCell ref="D55:E55"/>
    <mergeCell ref="F55:H55"/>
    <mergeCell ref="I55:K55"/>
    <mergeCell ref="L55:M55"/>
    <mergeCell ref="N55:O55"/>
    <mergeCell ref="P55:Q55"/>
    <mergeCell ref="V53:Y53"/>
    <mergeCell ref="A54:C54"/>
    <mergeCell ref="D54:E54"/>
    <mergeCell ref="F54:H54"/>
    <mergeCell ref="I54:K54"/>
    <mergeCell ref="L54:M54"/>
    <mergeCell ref="N54:O54"/>
    <mergeCell ref="P54:Q54"/>
    <mergeCell ref="V54:Y54"/>
    <mergeCell ref="A53:C53"/>
    <mergeCell ref="D53:E53"/>
    <mergeCell ref="F53:H53"/>
    <mergeCell ref="I53:K53"/>
    <mergeCell ref="L53:M53"/>
    <mergeCell ref="N53:O53"/>
    <mergeCell ref="P53:Q53"/>
    <mergeCell ref="V51:Y51"/>
    <mergeCell ref="A52:C52"/>
    <mergeCell ref="D52:E52"/>
    <mergeCell ref="F52:H52"/>
    <mergeCell ref="I52:K52"/>
    <mergeCell ref="L52:M52"/>
    <mergeCell ref="N52:O52"/>
    <mergeCell ref="P52:Q52"/>
    <mergeCell ref="V52:Y52"/>
    <mergeCell ref="A51:C51"/>
    <mergeCell ref="D51:E51"/>
    <mergeCell ref="F51:H51"/>
    <mergeCell ref="I51:K51"/>
    <mergeCell ref="L51:M51"/>
    <mergeCell ref="N51:O51"/>
    <mergeCell ref="P51:Q51"/>
    <mergeCell ref="D49:E49"/>
    <mergeCell ref="F49:H49"/>
    <mergeCell ref="I49:K49"/>
    <mergeCell ref="L49:M49"/>
    <mergeCell ref="N49:O49"/>
    <mergeCell ref="P49:Q49"/>
    <mergeCell ref="V49:Y49"/>
    <mergeCell ref="A50:C50"/>
    <mergeCell ref="D50:E50"/>
    <mergeCell ref="F50:H50"/>
    <mergeCell ref="I50:K50"/>
    <mergeCell ref="L50:M50"/>
    <mergeCell ref="N50:O50"/>
    <mergeCell ref="P50:Q50"/>
    <mergeCell ref="V50:Y50"/>
    <mergeCell ref="A49:C49"/>
    <mergeCell ref="A47:C47"/>
    <mergeCell ref="D47:E47"/>
    <mergeCell ref="F47:H47"/>
    <mergeCell ref="I47:K47"/>
    <mergeCell ref="L47:M47"/>
    <mergeCell ref="N47:O47"/>
    <mergeCell ref="P47:Q47"/>
    <mergeCell ref="V47:Y47"/>
    <mergeCell ref="A48:C48"/>
    <mergeCell ref="D48:E48"/>
    <mergeCell ref="F48:H48"/>
    <mergeCell ref="I48:K48"/>
    <mergeCell ref="L48:M48"/>
    <mergeCell ref="N48:O48"/>
    <mergeCell ref="P48:Q48"/>
    <mergeCell ref="V48:Y48"/>
    <mergeCell ref="A45:C45"/>
    <mergeCell ref="D45:E45"/>
    <mergeCell ref="F45:H45"/>
    <mergeCell ref="I45:K45"/>
    <mergeCell ref="L45:M45"/>
    <mergeCell ref="N45:O45"/>
    <mergeCell ref="P45:Q45"/>
    <mergeCell ref="V45:Y45"/>
    <mergeCell ref="A46:C46"/>
    <mergeCell ref="D46:E46"/>
    <mergeCell ref="F46:H46"/>
    <mergeCell ref="I46:K46"/>
    <mergeCell ref="L46:M46"/>
    <mergeCell ref="N46:O46"/>
    <mergeCell ref="P46:Q46"/>
    <mergeCell ref="V46:Y46"/>
    <mergeCell ref="A23:Y23"/>
    <mergeCell ref="A41:F41"/>
    <mergeCell ref="G41:J41"/>
    <mergeCell ref="L41:M41"/>
    <mergeCell ref="N41:Q41"/>
    <mergeCell ref="S41:T41"/>
    <mergeCell ref="U41:Y41"/>
    <mergeCell ref="A42:Y42"/>
    <mergeCell ref="D43:H43"/>
    <mergeCell ref="I43:Q43"/>
    <mergeCell ref="R43:S43"/>
    <mergeCell ref="T43:U43"/>
    <mergeCell ref="V43:Y44"/>
    <mergeCell ref="D44:E44"/>
    <mergeCell ref="F44:H44"/>
    <mergeCell ref="I44:M44"/>
    <mergeCell ref="N44:O44"/>
    <mergeCell ref="P44:Q44"/>
    <mergeCell ref="A40:Y40"/>
    <mergeCell ref="A26:C26"/>
    <mergeCell ref="A27:C27"/>
    <mergeCell ref="A43:C43"/>
    <mergeCell ref="A44:C44"/>
    <mergeCell ref="A38:C38"/>
    <mergeCell ref="D38:E38"/>
    <mergeCell ref="F38:H38"/>
    <mergeCell ref="I38:K38"/>
    <mergeCell ref="L38:M38"/>
    <mergeCell ref="N38:O38"/>
    <mergeCell ref="P38:Q38"/>
    <mergeCell ref="V38:Y38"/>
    <mergeCell ref="A39:C39"/>
    <mergeCell ref="D39:E39"/>
    <mergeCell ref="F39:H39"/>
    <mergeCell ref="I39:K39"/>
    <mergeCell ref="L39:M39"/>
    <mergeCell ref="N39:O39"/>
    <mergeCell ref="P39:Q39"/>
    <mergeCell ref="V39:Y39"/>
    <mergeCell ref="A36:C36"/>
    <mergeCell ref="D36:E36"/>
    <mergeCell ref="F36:H36"/>
    <mergeCell ref="I36:K36"/>
    <mergeCell ref="L36:M36"/>
    <mergeCell ref="N36:O36"/>
    <mergeCell ref="P36:Q36"/>
    <mergeCell ref="V36:Y36"/>
    <mergeCell ref="A37:C37"/>
    <mergeCell ref="D37:E37"/>
    <mergeCell ref="F37:H37"/>
    <mergeCell ref="I37:K37"/>
    <mergeCell ref="L37:M37"/>
    <mergeCell ref="N37:O37"/>
    <mergeCell ref="P37:Q37"/>
    <mergeCell ref="V37:Y37"/>
    <mergeCell ref="A34:C34"/>
    <mergeCell ref="D34:E34"/>
    <mergeCell ref="F34:H34"/>
    <mergeCell ref="I34:K34"/>
    <mergeCell ref="L34:M34"/>
    <mergeCell ref="N34:O34"/>
    <mergeCell ref="P34:Q34"/>
    <mergeCell ref="V34:Y34"/>
    <mergeCell ref="A35:C35"/>
    <mergeCell ref="D35:E35"/>
    <mergeCell ref="F35:H35"/>
    <mergeCell ref="I35:K35"/>
    <mergeCell ref="L35:M35"/>
    <mergeCell ref="N35:O35"/>
    <mergeCell ref="P35:Q35"/>
    <mergeCell ref="V35:Y35"/>
    <mergeCell ref="A32:C32"/>
    <mergeCell ref="D32:E32"/>
    <mergeCell ref="F32:H32"/>
    <mergeCell ref="I32:K32"/>
    <mergeCell ref="L32:M32"/>
    <mergeCell ref="N32:O32"/>
    <mergeCell ref="P32:Q32"/>
    <mergeCell ref="V32:Y32"/>
    <mergeCell ref="A33:C33"/>
    <mergeCell ref="D33:E33"/>
    <mergeCell ref="F33:H33"/>
    <mergeCell ref="I33:K33"/>
    <mergeCell ref="L33:M33"/>
    <mergeCell ref="N33:O33"/>
    <mergeCell ref="P33:Q33"/>
    <mergeCell ref="V33:Y33"/>
    <mergeCell ref="A30:C30"/>
    <mergeCell ref="D30:E30"/>
    <mergeCell ref="F30:H30"/>
    <mergeCell ref="I30:K30"/>
    <mergeCell ref="L30:M30"/>
    <mergeCell ref="N30:O30"/>
    <mergeCell ref="P30:Q30"/>
    <mergeCell ref="V30:Y30"/>
    <mergeCell ref="A31:C31"/>
    <mergeCell ref="D31:E31"/>
    <mergeCell ref="F31:H31"/>
    <mergeCell ref="I31:K31"/>
    <mergeCell ref="L31:M31"/>
    <mergeCell ref="N31:O31"/>
    <mergeCell ref="P31:Q31"/>
    <mergeCell ref="V31:Y31"/>
    <mergeCell ref="A28:C28"/>
    <mergeCell ref="D28:E28"/>
    <mergeCell ref="F28:H28"/>
    <mergeCell ref="I28:K28"/>
    <mergeCell ref="L28:M28"/>
    <mergeCell ref="N28:O28"/>
    <mergeCell ref="P28:Q28"/>
    <mergeCell ref="V28:Y28"/>
    <mergeCell ref="A29:C29"/>
    <mergeCell ref="D29:E29"/>
    <mergeCell ref="F29:H29"/>
    <mergeCell ref="I29:K29"/>
    <mergeCell ref="L29:M29"/>
    <mergeCell ref="N29:O29"/>
    <mergeCell ref="P29:Q29"/>
    <mergeCell ref="V29:Y29"/>
    <mergeCell ref="A24:F24"/>
    <mergeCell ref="G24:J24"/>
    <mergeCell ref="L24:M24"/>
    <mergeCell ref="N24:Q24"/>
    <mergeCell ref="S24:T24"/>
    <mergeCell ref="U24:Y24"/>
    <mergeCell ref="A25:Y25"/>
    <mergeCell ref="D26:H26"/>
    <mergeCell ref="I26:Q26"/>
    <mergeCell ref="R26:S26"/>
    <mergeCell ref="T26:U26"/>
    <mergeCell ref="V26:Y27"/>
    <mergeCell ref="D27:E27"/>
    <mergeCell ref="F27:H27"/>
    <mergeCell ref="I27:M27"/>
    <mergeCell ref="N27:O27"/>
    <mergeCell ref="P27:Q27"/>
    <mergeCell ref="A13:C13"/>
    <mergeCell ref="A14:C14"/>
    <mergeCell ref="A15:C15"/>
    <mergeCell ref="D9:H9"/>
    <mergeCell ref="L22:M22"/>
    <mergeCell ref="L16:M16"/>
    <mergeCell ref="A19:C19"/>
    <mergeCell ref="A20:C20"/>
    <mergeCell ref="A21:C21"/>
    <mergeCell ref="A22:C22"/>
    <mergeCell ref="A16:C16"/>
    <mergeCell ref="A17:C17"/>
    <mergeCell ref="A18:C18"/>
    <mergeCell ref="D20:E20"/>
    <mergeCell ref="F20:H20"/>
    <mergeCell ref="D22:E22"/>
    <mergeCell ref="F22:H22"/>
    <mergeCell ref="L17:M17"/>
    <mergeCell ref="L18:M18"/>
    <mergeCell ref="L19:M19"/>
    <mergeCell ref="A9:C9"/>
    <mergeCell ref="A10:C10"/>
    <mergeCell ref="A11:C11"/>
    <mergeCell ref="A12:C12"/>
    <mergeCell ref="A5:F5"/>
    <mergeCell ref="G5:Y5"/>
    <mergeCell ref="V3:W3"/>
    <mergeCell ref="V2:W2"/>
    <mergeCell ref="V1:W1"/>
    <mergeCell ref="V9:Y10"/>
    <mergeCell ref="D10:E10"/>
    <mergeCell ref="F10:H10"/>
    <mergeCell ref="D11:E11"/>
    <mergeCell ref="F11:H11"/>
    <mergeCell ref="V11:Y11"/>
    <mergeCell ref="I11:K11"/>
    <mergeCell ref="N11:O11"/>
    <mergeCell ref="P11:Q11"/>
    <mergeCell ref="A1:D3"/>
    <mergeCell ref="E1:U3"/>
    <mergeCell ref="L7:M7"/>
    <mergeCell ref="N7:Q7"/>
    <mergeCell ref="U7:Y7"/>
    <mergeCell ref="S7:T7"/>
    <mergeCell ref="X1:Y1"/>
    <mergeCell ref="X2:Y2"/>
    <mergeCell ref="X3:Y3"/>
    <mergeCell ref="A7:F7"/>
    <mergeCell ref="G7:J7"/>
    <mergeCell ref="V19:Y19"/>
    <mergeCell ref="I18:K18"/>
    <mergeCell ref="I19:K19"/>
    <mergeCell ref="R9:S9"/>
    <mergeCell ref="T9:U9"/>
    <mergeCell ref="I10:M10"/>
    <mergeCell ref="N10:O10"/>
    <mergeCell ref="P10:Q10"/>
    <mergeCell ref="I9:Q9"/>
    <mergeCell ref="L11:M11"/>
    <mergeCell ref="L12:M12"/>
    <mergeCell ref="V12:Y12"/>
    <mergeCell ref="D13:E13"/>
    <mergeCell ref="F13:H13"/>
    <mergeCell ref="V13:Y13"/>
    <mergeCell ref="I12:K12"/>
    <mergeCell ref="I13:K13"/>
    <mergeCell ref="D14:E14"/>
    <mergeCell ref="F14:H14"/>
    <mergeCell ref="V14:Y14"/>
    <mergeCell ref="I14:K14"/>
    <mergeCell ref="N14:O14"/>
    <mergeCell ref="F12:H12"/>
    <mergeCell ref="N13:O13"/>
    <mergeCell ref="N12:O12"/>
    <mergeCell ref="P12:Q12"/>
    <mergeCell ref="P13:Q13"/>
    <mergeCell ref="L14:M14"/>
    <mergeCell ref="L13:M13"/>
    <mergeCell ref="D12:E12"/>
    <mergeCell ref="V22:Y22"/>
    <mergeCell ref="I22:K22"/>
    <mergeCell ref="N22:O22"/>
    <mergeCell ref="P22:Q22"/>
    <mergeCell ref="V16:Y16"/>
    <mergeCell ref="F16:H16"/>
    <mergeCell ref="I16:K16"/>
    <mergeCell ref="V20:Y20"/>
    <mergeCell ref="D21:E21"/>
    <mergeCell ref="F21:H21"/>
    <mergeCell ref="V21:Y21"/>
    <mergeCell ref="I20:K20"/>
    <mergeCell ref="I21:K21"/>
    <mergeCell ref="D18:E18"/>
    <mergeCell ref="F18:H18"/>
    <mergeCell ref="V18:Y18"/>
    <mergeCell ref="D19:E19"/>
    <mergeCell ref="F19:H19"/>
    <mergeCell ref="V17:Y17"/>
    <mergeCell ref="I17:K17"/>
    <mergeCell ref="L21:M21"/>
    <mergeCell ref="L20:M20"/>
    <mergeCell ref="P16:Q16"/>
    <mergeCell ref="P17:Q17"/>
    <mergeCell ref="P21:Q21"/>
    <mergeCell ref="D17:E17"/>
    <mergeCell ref="F17:H17"/>
    <mergeCell ref="A8:Y8"/>
    <mergeCell ref="A4:Y4"/>
    <mergeCell ref="A6:Y6"/>
    <mergeCell ref="P14:Q14"/>
    <mergeCell ref="P15:Q15"/>
    <mergeCell ref="D16:E16"/>
    <mergeCell ref="D15:E15"/>
    <mergeCell ref="F15:H15"/>
    <mergeCell ref="V15:Y15"/>
    <mergeCell ref="I15:K15"/>
    <mergeCell ref="N15:O15"/>
    <mergeCell ref="N16:O16"/>
    <mergeCell ref="N17:O17"/>
    <mergeCell ref="L15:M15"/>
    <mergeCell ref="N18:O18"/>
    <mergeCell ref="N19:O19"/>
    <mergeCell ref="N20:O20"/>
    <mergeCell ref="N21:O21"/>
    <mergeCell ref="P18:Q18"/>
    <mergeCell ref="P19:Q19"/>
    <mergeCell ref="P20:Q20"/>
  </mergeCells>
  <conditionalFormatting sqref="L11:M22">
    <cfRule type="containsText" dxfId="8" priority="23" operator="containsText" text="Ok">
      <formula>NOT(ISERROR(SEARCH("Ok",L11)))</formula>
    </cfRule>
    <cfRule type="containsText" dxfId="7" priority="48" operator="containsText" text="Solicitar">
      <formula>NOT(ISERROR(SEARCH("Solicitar",L11)))</formula>
    </cfRule>
  </conditionalFormatting>
  <conditionalFormatting sqref="P11:P22">
    <cfRule type="iconSet" priority="49">
      <iconSet iconSet="3Symbols">
        <cfvo type="percent" val="0"/>
        <cfvo type="num" val="2" gte="0"/>
        <cfvo type="num" val="5"/>
      </iconSet>
    </cfRule>
  </conditionalFormatting>
  <conditionalFormatting sqref="P11:Q22">
    <cfRule type="containsText" dxfId="6" priority="13" operator="containsText" text="Vencido">
      <formula>NOT(ISERROR(SEARCH("Vencido",P11)))</formula>
    </cfRule>
  </conditionalFormatting>
  <conditionalFormatting sqref="L28:M39">
    <cfRule type="containsText" dxfId="5" priority="6" operator="containsText" text="Ok">
      <formula>NOT(ISERROR(SEARCH("Ok",L28)))</formula>
    </cfRule>
    <cfRule type="containsText" dxfId="4" priority="7" operator="containsText" text="Solicitar">
      <formula>NOT(ISERROR(SEARCH("Solicitar",L28)))</formula>
    </cfRule>
  </conditionalFormatting>
  <conditionalFormatting sqref="P28:P39">
    <cfRule type="iconSet" priority="8">
      <iconSet iconSet="3Symbols">
        <cfvo type="percent" val="0"/>
        <cfvo type="num" val="2" gte="0"/>
        <cfvo type="num" val="5"/>
      </iconSet>
    </cfRule>
  </conditionalFormatting>
  <conditionalFormatting sqref="P28:Q39">
    <cfRule type="containsText" dxfId="3" priority="5" operator="containsText" text="Vencido">
      <formula>NOT(ISERROR(SEARCH("Vencido",P28)))</formula>
    </cfRule>
  </conditionalFormatting>
  <conditionalFormatting sqref="L45:M56">
    <cfRule type="containsText" dxfId="2" priority="2" operator="containsText" text="Ok">
      <formula>NOT(ISERROR(SEARCH("Ok",L45)))</formula>
    </cfRule>
    <cfRule type="containsText" dxfId="1" priority="3" operator="containsText" text="Solicitar">
      <formula>NOT(ISERROR(SEARCH("Solicitar",L45)))</formula>
    </cfRule>
  </conditionalFormatting>
  <conditionalFormatting sqref="P45:P56">
    <cfRule type="iconSet" priority="4">
      <iconSet iconSet="3Symbols">
        <cfvo type="percent" val="0"/>
        <cfvo type="num" val="2" gte="0"/>
        <cfvo type="num" val="5"/>
      </iconSet>
    </cfRule>
  </conditionalFormatting>
  <conditionalFormatting sqref="P45:Q56">
    <cfRule type="containsText" dxfId="0" priority="1" operator="containsText" text="Vencido">
      <formula>NOT(ISERROR(SEARCH("Vencido",P45)))</formula>
    </cfRule>
  </conditionalFormatting>
  <printOptions horizontalCentered="1"/>
  <pageMargins left="0.19685039370078741" right="0.19685039370078741" top="0.19685039370078741" bottom="0.39370078740157483" header="0.31496062992125984" footer="0.31496062992125984"/>
  <pageSetup scale="43" orientation="landscape" r:id="rId1"/>
  <headerFooter>
    <oddFooter>&amp;R&amp;"Arial Narrow,Normal"&amp;9Página: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icture r:id="rId3"/>
  </sheetPr>
  <dimension ref="A1:AP46"/>
  <sheetViews>
    <sheetView view="pageBreakPreview" topLeftCell="A3" zoomScaleNormal="100" zoomScaleSheetLayoutView="100" workbookViewId="0">
      <selection activeCell="A12" sqref="A12:C12"/>
    </sheetView>
  </sheetViews>
  <sheetFormatPr baseColWidth="10" defaultColWidth="11.42578125" defaultRowHeight="15.75" x14ac:dyDescent="0.25"/>
  <cols>
    <col min="1" max="1" width="4.5703125" style="1" customWidth="1" collapsed="1"/>
    <col min="2" max="2" width="4.28515625" style="1" customWidth="1" collapsed="1"/>
    <col min="3" max="3" width="4.140625" style="1" customWidth="1" collapsed="1"/>
    <col min="4" max="6" width="4.140625" style="1" customWidth="1"/>
    <col min="7" max="7" width="3.7109375" style="1" customWidth="1" collapsed="1"/>
    <col min="8" max="9" width="4.28515625" style="1" customWidth="1" collapsed="1"/>
    <col min="10" max="10" width="3.7109375" style="1" customWidth="1" collapsed="1"/>
    <col min="11" max="18" width="4.28515625" style="1" customWidth="1" collapsed="1"/>
    <col min="19" max="22" width="4.7109375" style="1" customWidth="1" collapsed="1"/>
    <col min="23" max="26" width="3.7109375" style="1" customWidth="1" collapsed="1"/>
    <col min="27" max="30" width="4.28515625" style="1" customWidth="1" collapsed="1"/>
    <col min="31" max="35" width="4.28515625" style="1" customWidth="1"/>
    <col min="36" max="37" width="11.42578125" style="1" collapsed="1"/>
    <col min="38" max="38" width="24.7109375" style="1" bestFit="1" customWidth="1" collapsed="1"/>
    <col min="39" max="42" width="11.42578125" style="1"/>
    <col min="43" max="16384" width="11.42578125" style="1" collapsed="1"/>
  </cols>
  <sheetData>
    <row r="1" spans="1:38" ht="18" customHeight="1" x14ac:dyDescent="0.25">
      <c r="A1" s="185"/>
      <c r="B1" s="185"/>
      <c r="C1" s="185"/>
      <c r="D1" s="185"/>
      <c r="E1" s="49" t="s">
        <v>33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50" t="s">
        <v>3</v>
      </c>
      <c r="AA1" s="50"/>
      <c r="AB1" s="50" t="s">
        <v>258</v>
      </c>
      <c r="AC1" s="50"/>
      <c r="AD1" s="50"/>
      <c r="AE1" s="31"/>
      <c r="AF1" s="31"/>
      <c r="AG1" s="31"/>
      <c r="AH1" s="31"/>
      <c r="AI1" s="31"/>
      <c r="AL1" s="11"/>
    </row>
    <row r="2" spans="1:38" ht="18" customHeight="1" x14ac:dyDescent="0.25">
      <c r="A2" s="185"/>
      <c r="B2" s="185"/>
      <c r="C2" s="185"/>
      <c r="D2" s="185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50" t="s">
        <v>1</v>
      </c>
      <c r="AA2" s="50"/>
      <c r="AB2" s="207">
        <v>5</v>
      </c>
      <c r="AC2" s="207"/>
      <c r="AD2" s="207"/>
      <c r="AE2" s="31"/>
      <c r="AF2" s="31"/>
      <c r="AG2" s="31"/>
      <c r="AH2" s="31"/>
      <c r="AI2" s="31"/>
      <c r="AL2" s="11"/>
    </row>
    <row r="3" spans="1:38" ht="18" customHeight="1" x14ac:dyDescent="0.25">
      <c r="A3" s="185"/>
      <c r="B3" s="185"/>
      <c r="C3" s="185"/>
      <c r="D3" s="185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50" t="s">
        <v>2</v>
      </c>
      <c r="AA3" s="50"/>
      <c r="AB3" s="208">
        <v>45434</v>
      </c>
      <c r="AC3" s="208"/>
      <c r="AD3" s="208"/>
      <c r="AE3" s="31"/>
      <c r="AF3" s="31"/>
      <c r="AG3" s="31"/>
      <c r="AH3" s="31"/>
      <c r="AI3" s="31"/>
      <c r="AL3" s="11"/>
    </row>
    <row r="4" spans="1:38" s="2" customFormat="1" ht="5.0999999999999996" customHeight="1" x14ac:dyDescent="0.25">
      <c r="AL4" s="8"/>
    </row>
    <row r="5" spans="1:38" s="2" customFormat="1" ht="18" customHeight="1" x14ac:dyDescent="0.25">
      <c r="A5" s="172" t="s">
        <v>227</v>
      </c>
      <c r="B5" s="173"/>
      <c r="C5" s="173"/>
      <c r="D5" s="173"/>
      <c r="E5" s="173"/>
      <c r="F5" s="173"/>
      <c r="G5" s="182"/>
      <c r="H5" s="184">
        <f>+Registro!$K$5</f>
        <v>0</v>
      </c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7"/>
      <c r="AE5" s="16"/>
      <c r="AF5" s="16"/>
      <c r="AG5" s="16"/>
      <c r="AH5" s="16"/>
      <c r="AI5" s="16"/>
      <c r="AL5" s="8"/>
    </row>
    <row r="6" spans="1:38" s="2" customFormat="1" ht="5.0999999999999996" customHeight="1" x14ac:dyDescent="0.25">
      <c r="AL6" s="8"/>
    </row>
    <row r="7" spans="1:38" s="2" customFormat="1" ht="18" customHeight="1" x14ac:dyDescent="0.25">
      <c r="A7" s="172" t="s">
        <v>28</v>
      </c>
      <c r="B7" s="173"/>
      <c r="C7" s="173"/>
      <c r="D7" s="173"/>
      <c r="E7" s="173"/>
      <c r="F7" s="173"/>
      <c r="G7" s="182"/>
      <c r="H7" s="94" t="s">
        <v>237</v>
      </c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6"/>
      <c r="U7"/>
      <c r="V7" s="172" t="s">
        <v>38</v>
      </c>
      <c r="W7" s="173"/>
      <c r="X7" s="173"/>
      <c r="Y7" s="182"/>
      <c r="Z7" s="94" t="s">
        <v>246</v>
      </c>
      <c r="AA7" s="95"/>
      <c r="AB7" s="95"/>
      <c r="AC7" s="95"/>
      <c r="AD7" s="96"/>
      <c r="AE7" s="9"/>
      <c r="AF7" s="9"/>
      <c r="AG7" s="9"/>
      <c r="AH7" s="9"/>
      <c r="AI7" s="9"/>
      <c r="AL7" s="8"/>
    </row>
    <row r="8" spans="1:38" s="2" customFormat="1" ht="5.0999999999999996" customHeight="1" x14ac:dyDescent="0.25">
      <c r="AL8" s="8"/>
    </row>
    <row r="9" spans="1:38" s="2" customFormat="1" ht="30" customHeight="1" x14ac:dyDescent="0.25">
      <c r="A9" s="116" t="s">
        <v>42</v>
      </c>
      <c r="B9" s="117"/>
      <c r="C9" s="118"/>
      <c r="D9" s="116" t="s">
        <v>239</v>
      </c>
      <c r="E9" s="117"/>
      <c r="F9" s="118"/>
      <c r="G9" s="133" t="s">
        <v>256</v>
      </c>
      <c r="H9" s="133"/>
      <c r="I9" s="133"/>
      <c r="J9" s="133"/>
      <c r="K9" s="116" t="s">
        <v>50</v>
      </c>
      <c r="L9" s="117"/>
      <c r="M9" s="117"/>
      <c r="N9" s="118"/>
      <c r="O9" s="116" t="s">
        <v>51</v>
      </c>
      <c r="P9" s="117"/>
      <c r="Q9" s="117"/>
      <c r="R9" s="118"/>
      <c r="S9" s="116" t="s">
        <v>52</v>
      </c>
      <c r="T9" s="117"/>
      <c r="U9" s="117"/>
      <c r="V9" s="118"/>
      <c r="W9" s="183" t="s">
        <v>40</v>
      </c>
      <c r="X9" s="183"/>
      <c r="Y9" s="183"/>
      <c r="Z9" s="183"/>
      <c r="AA9" s="116" t="s">
        <v>0</v>
      </c>
      <c r="AB9" s="117"/>
      <c r="AC9" s="117"/>
      <c r="AD9" s="118"/>
      <c r="AE9" s="34"/>
      <c r="AF9" s="34"/>
      <c r="AG9" s="34"/>
      <c r="AH9" s="34"/>
      <c r="AI9" s="34"/>
    </row>
    <row r="10" spans="1:38" s="2" customFormat="1" ht="39.75" customHeight="1" x14ac:dyDescent="0.25">
      <c r="A10" s="119"/>
      <c r="B10" s="120"/>
      <c r="C10" s="121"/>
      <c r="D10" s="119"/>
      <c r="E10" s="120"/>
      <c r="F10" s="121"/>
      <c r="G10" s="133"/>
      <c r="H10" s="133"/>
      <c r="I10" s="133"/>
      <c r="J10" s="133"/>
      <c r="K10" s="122"/>
      <c r="L10" s="123"/>
      <c r="M10" s="123"/>
      <c r="N10" s="124"/>
      <c r="O10" s="122"/>
      <c r="P10" s="123"/>
      <c r="Q10" s="123"/>
      <c r="R10" s="124"/>
      <c r="S10" s="122"/>
      <c r="T10" s="123"/>
      <c r="U10" s="123"/>
      <c r="V10" s="124"/>
      <c r="W10" s="183"/>
      <c r="X10" s="183"/>
      <c r="Y10" s="183"/>
      <c r="Z10" s="183"/>
      <c r="AA10" s="119"/>
      <c r="AB10" s="120"/>
      <c r="AC10" s="120"/>
      <c r="AD10" s="121"/>
      <c r="AE10" s="34"/>
      <c r="AF10" s="34"/>
      <c r="AG10" s="34"/>
      <c r="AH10" s="34"/>
      <c r="AI10" s="34"/>
    </row>
    <row r="11" spans="1:38" s="2" customFormat="1" ht="18" customHeight="1" x14ac:dyDescent="0.25">
      <c r="A11" s="82" t="s">
        <v>236</v>
      </c>
      <c r="B11" s="83"/>
      <c r="C11" s="84"/>
      <c r="D11" s="122"/>
      <c r="E11" s="123"/>
      <c r="F11" s="124"/>
      <c r="G11" s="77" t="s">
        <v>5</v>
      </c>
      <c r="H11" s="77"/>
      <c r="I11" s="77" t="s">
        <v>6</v>
      </c>
      <c r="J11" s="77"/>
      <c r="K11" s="77" t="s">
        <v>5</v>
      </c>
      <c r="L11" s="77"/>
      <c r="M11" s="77" t="s">
        <v>6</v>
      </c>
      <c r="N11" s="77"/>
      <c r="O11" s="77" t="s">
        <v>5</v>
      </c>
      <c r="P11" s="77"/>
      <c r="Q11" s="77" t="s">
        <v>6</v>
      </c>
      <c r="R11" s="77"/>
      <c r="S11" s="77" t="s">
        <v>5</v>
      </c>
      <c r="T11" s="77"/>
      <c r="U11" s="77" t="s">
        <v>6</v>
      </c>
      <c r="V11" s="77"/>
      <c r="W11" s="77" t="s">
        <v>5</v>
      </c>
      <c r="X11" s="77"/>
      <c r="Y11" s="77" t="s">
        <v>6</v>
      </c>
      <c r="Z11" s="77"/>
      <c r="AA11" s="122"/>
      <c r="AB11" s="123"/>
      <c r="AC11" s="123"/>
      <c r="AD11" s="124"/>
      <c r="AE11" s="34"/>
      <c r="AF11" s="34"/>
      <c r="AG11" s="34"/>
      <c r="AH11" s="34"/>
      <c r="AI11" s="34"/>
    </row>
    <row r="12" spans="1:38" s="2" customFormat="1" ht="30" customHeight="1" x14ac:dyDescent="0.25">
      <c r="A12" s="73"/>
      <c r="B12" s="74"/>
      <c r="C12" s="75"/>
      <c r="D12" s="73"/>
      <c r="E12" s="74"/>
      <c r="F12" s="75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89"/>
      <c r="AB12" s="115"/>
      <c r="AC12" s="115"/>
      <c r="AD12" s="90"/>
      <c r="AE12" s="35"/>
      <c r="AF12" s="35"/>
      <c r="AG12" s="35"/>
      <c r="AH12" s="35"/>
      <c r="AI12" s="35"/>
    </row>
    <row r="13" spans="1:38" s="2" customFormat="1" ht="30" customHeight="1" x14ac:dyDescent="0.25">
      <c r="A13" s="73"/>
      <c r="B13" s="74"/>
      <c r="C13" s="75"/>
      <c r="D13" s="73"/>
      <c r="E13" s="74"/>
      <c r="F13" s="75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89"/>
      <c r="AB13" s="115"/>
      <c r="AC13" s="115"/>
      <c r="AD13" s="90"/>
      <c r="AE13" s="35"/>
      <c r="AF13" s="35"/>
      <c r="AG13" s="35"/>
      <c r="AH13" s="35"/>
      <c r="AI13" s="35"/>
    </row>
    <row r="14" spans="1:38" s="2" customFormat="1" ht="30" customHeight="1" x14ac:dyDescent="0.25">
      <c r="A14" s="73"/>
      <c r="B14" s="74"/>
      <c r="C14" s="75"/>
      <c r="D14" s="73"/>
      <c r="E14" s="74"/>
      <c r="F14" s="75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89"/>
      <c r="AB14" s="115"/>
      <c r="AC14" s="115"/>
      <c r="AD14" s="90"/>
      <c r="AE14" s="35"/>
      <c r="AF14" s="35"/>
      <c r="AG14" s="35"/>
      <c r="AH14" s="35"/>
      <c r="AI14" s="35"/>
    </row>
    <row r="15" spans="1:38" s="2" customFormat="1" ht="30" customHeight="1" x14ac:dyDescent="0.25">
      <c r="A15" s="73"/>
      <c r="B15" s="74"/>
      <c r="C15" s="75"/>
      <c r="D15" s="73"/>
      <c r="E15" s="74"/>
      <c r="F15" s="75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89"/>
      <c r="AB15" s="115"/>
      <c r="AC15" s="115"/>
      <c r="AD15" s="90"/>
      <c r="AE15" s="35"/>
      <c r="AF15" s="35"/>
      <c r="AG15" s="35"/>
      <c r="AH15" s="35"/>
      <c r="AI15" s="35"/>
    </row>
    <row r="16" spans="1:38" s="2" customFormat="1" ht="30" customHeight="1" x14ac:dyDescent="0.25">
      <c r="A16" s="73"/>
      <c r="B16" s="74"/>
      <c r="C16" s="75"/>
      <c r="D16" s="73"/>
      <c r="E16" s="74"/>
      <c r="F16" s="75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89"/>
      <c r="AB16" s="115"/>
      <c r="AC16" s="115"/>
      <c r="AD16" s="90"/>
      <c r="AE16" s="35"/>
      <c r="AF16" s="35"/>
      <c r="AG16" s="35"/>
      <c r="AH16" s="35"/>
      <c r="AI16" s="35"/>
    </row>
    <row r="17" spans="1:35" s="2" customFormat="1" ht="30" customHeight="1" x14ac:dyDescent="0.25">
      <c r="A17" s="73"/>
      <c r="B17" s="74"/>
      <c r="C17" s="75"/>
      <c r="D17" s="73"/>
      <c r="E17" s="74"/>
      <c r="F17" s="75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89"/>
      <c r="AB17" s="115"/>
      <c r="AC17" s="115"/>
      <c r="AD17" s="90"/>
      <c r="AE17" s="35"/>
      <c r="AF17" s="35"/>
      <c r="AG17" s="35"/>
      <c r="AH17" s="35"/>
      <c r="AI17" s="35"/>
    </row>
    <row r="18" spans="1:35" s="2" customFormat="1" ht="30" customHeight="1" x14ac:dyDescent="0.25">
      <c r="A18" s="73"/>
      <c r="B18" s="74"/>
      <c r="C18" s="75"/>
      <c r="D18" s="73"/>
      <c r="E18" s="74"/>
      <c r="F18" s="75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89"/>
      <c r="AB18" s="115"/>
      <c r="AC18" s="115"/>
      <c r="AD18" s="90"/>
      <c r="AE18" s="35"/>
      <c r="AF18" s="35"/>
      <c r="AG18" s="35"/>
      <c r="AH18" s="35"/>
      <c r="AI18" s="35"/>
    </row>
    <row r="19" spans="1:35" s="2" customFormat="1" ht="30" customHeight="1" x14ac:dyDescent="0.25">
      <c r="A19" s="73"/>
      <c r="B19" s="74"/>
      <c r="C19" s="75"/>
      <c r="D19" s="73"/>
      <c r="E19" s="74"/>
      <c r="F19" s="75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89"/>
      <c r="AB19" s="115"/>
      <c r="AC19" s="115"/>
      <c r="AD19" s="90"/>
      <c r="AE19" s="35"/>
      <c r="AF19" s="35"/>
      <c r="AG19" s="35"/>
      <c r="AH19" s="35"/>
      <c r="AI19" s="35"/>
    </row>
    <row r="20" spans="1:35" s="2" customFormat="1" ht="30" customHeight="1" x14ac:dyDescent="0.25">
      <c r="A20" s="73"/>
      <c r="B20" s="74"/>
      <c r="C20" s="75"/>
      <c r="D20" s="73"/>
      <c r="E20" s="74"/>
      <c r="F20" s="75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89"/>
      <c r="AB20" s="115"/>
      <c r="AC20" s="115"/>
      <c r="AD20" s="90"/>
      <c r="AE20" s="35"/>
      <c r="AF20" s="35"/>
      <c r="AG20" s="35"/>
      <c r="AH20" s="35"/>
      <c r="AI20" s="35"/>
    </row>
    <row r="21" spans="1:35" s="2" customFormat="1" ht="30" customHeight="1" x14ac:dyDescent="0.25">
      <c r="A21" s="73"/>
      <c r="B21" s="74"/>
      <c r="C21" s="75"/>
      <c r="D21" s="73"/>
      <c r="E21" s="74"/>
      <c r="F21" s="75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89"/>
      <c r="AB21" s="115"/>
      <c r="AC21" s="115"/>
      <c r="AD21" s="90"/>
      <c r="AE21" s="35"/>
      <c r="AF21" s="35"/>
      <c r="AG21" s="35"/>
      <c r="AH21" s="35"/>
      <c r="AI21" s="35"/>
    </row>
    <row r="22" spans="1:35" s="2" customFormat="1" ht="30" customHeight="1" x14ac:dyDescent="0.25">
      <c r="A22" s="73"/>
      <c r="B22" s="74"/>
      <c r="C22" s="75"/>
      <c r="D22" s="73"/>
      <c r="E22" s="74"/>
      <c r="F22" s="75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89"/>
      <c r="AB22" s="115"/>
      <c r="AC22" s="115"/>
      <c r="AD22" s="90"/>
      <c r="AE22" s="35"/>
      <c r="AF22" s="35"/>
      <c r="AG22" s="35"/>
      <c r="AH22" s="35"/>
      <c r="AI22" s="35"/>
    </row>
    <row r="23" spans="1:35" s="2" customFormat="1" ht="30" customHeight="1" x14ac:dyDescent="0.25">
      <c r="A23" s="73"/>
      <c r="B23" s="74"/>
      <c r="C23" s="75"/>
      <c r="D23" s="73"/>
      <c r="E23" s="74"/>
      <c r="F23" s="75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89"/>
      <c r="AB23" s="115"/>
      <c r="AC23" s="115"/>
      <c r="AD23" s="90"/>
      <c r="AE23" s="35"/>
      <c r="AF23" s="35"/>
      <c r="AG23" s="35"/>
      <c r="AH23" s="35"/>
      <c r="AI23" s="35"/>
    </row>
    <row r="24" spans="1:35" s="2" customFormat="1" ht="30" customHeight="1" x14ac:dyDescent="0.25">
      <c r="A24" s="73"/>
      <c r="B24" s="74"/>
      <c r="C24" s="75"/>
      <c r="D24" s="73"/>
      <c r="E24" s="74"/>
      <c r="F24" s="75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89"/>
      <c r="AB24" s="115"/>
      <c r="AC24" s="115"/>
      <c r="AD24" s="90"/>
      <c r="AE24" s="35"/>
      <c r="AF24" s="35"/>
      <c r="AG24" s="35"/>
      <c r="AH24" s="35"/>
      <c r="AI24" s="35"/>
    </row>
    <row r="25" spans="1:35" s="2" customFormat="1" ht="30" customHeight="1" x14ac:dyDescent="0.25">
      <c r="A25" s="73"/>
      <c r="B25" s="74"/>
      <c r="C25" s="75"/>
      <c r="D25" s="73"/>
      <c r="E25" s="74"/>
      <c r="F25" s="75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89"/>
      <c r="AB25" s="115"/>
      <c r="AC25" s="115"/>
      <c r="AD25" s="90"/>
      <c r="AE25" s="35"/>
      <c r="AF25" s="35"/>
      <c r="AG25" s="35"/>
      <c r="AH25" s="35"/>
      <c r="AI25" s="35"/>
    </row>
    <row r="26" spans="1:35" s="2" customFormat="1" ht="30" customHeight="1" x14ac:dyDescent="0.25">
      <c r="A26" s="73"/>
      <c r="B26" s="74"/>
      <c r="C26" s="75"/>
      <c r="D26" s="73"/>
      <c r="E26" s="74"/>
      <c r="F26" s="75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89"/>
      <c r="AB26" s="115"/>
      <c r="AC26" s="115"/>
      <c r="AD26" s="90"/>
      <c r="AE26" s="35"/>
      <c r="AF26" s="35"/>
      <c r="AG26" s="35"/>
      <c r="AH26" s="35"/>
      <c r="AI26" s="35"/>
    </row>
    <row r="27" spans="1:35" s="2" customFormat="1" ht="30" customHeight="1" x14ac:dyDescent="0.25">
      <c r="A27" s="73"/>
      <c r="B27" s="74"/>
      <c r="C27" s="75"/>
      <c r="D27" s="73"/>
      <c r="E27" s="74"/>
      <c r="F27" s="75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89"/>
      <c r="AB27" s="115"/>
      <c r="AC27" s="115"/>
      <c r="AD27" s="90"/>
      <c r="AE27" s="35"/>
      <c r="AF27" s="35"/>
      <c r="AG27" s="35"/>
      <c r="AH27" s="35"/>
      <c r="AI27" s="35"/>
    </row>
    <row r="28" spans="1:35" s="2" customFormat="1" ht="30" customHeight="1" x14ac:dyDescent="0.25">
      <c r="A28" s="73"/>
      <c r="B28" s="74"/>
      <c r="C28" s="75"/>
      <c r="D28" s="73"/>
      <c r="E28" s="74"/>
      <c r="F28" s="75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89"/>
      <c r="AB28" s="115"/>
      <c r="AC28" s="115"/>
      <c r="AD28" s="90"/>
      <c r="AE28" s="35"/>
      <c r="AF28" s="35"/>
      <c r="AG28" s="35"/>
      <c r="AH28" s="35"/>
      <c r="AI28" s="35"/>
    </row>
    <row r="29" spans="1:35" s="2" customFormat="1" ht="30" customHeight="1" x14ac:dyDescent="0.25">
      <c r="A29" s="73"/>
      <c r="B29" s="74"/>
      <c r="C29" s="75"/>
      <c r="D29" s="73"/>
      <c r="E29" s="74"/>
      <c r="F29" s="75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89"/>
      <c r="AB29" s="115"/>
      <c r="AC29" s="115"/>
      <c r="AD29" s="90"/>
      <c r="AE29" s="35"/>
      <c r="AF29" s="35"/>
      <c r="AG29" s="35"/>
      <c r="AH29" s="35"/>
      <c r="AI29" s="35"/>
    </row>
    <row r="30" spans="1:35" s="2" customFormat="1" ht="30" customHeight="1" x14ac:dyDescent="0.25">
      <c r="A30" s="73"/>
      <c r="B30" s="74"/>
      <c r="C30" s="75"/>
      <c r="D30" s="73"/>
      <c r="E30" s="74"/>
      <c r="F30" s="75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89"/>
      <c r="AB30" s="115"/>
      <c r="AC30" s="115"/>
      <c r="AD30" s="90"/>
      <c r="AE30" s="35"/>
      <c r="AF30" s="35"/>
      <c r="AG30" s="35"/>
      <c r="AH30" s="35"/>
      <c r="AI30" s="35"/>
    </row>
    <row r="31" spans="1:35" s="2" customFormat="1" ht="30" customHeight="1" x14ac:dyDescent="0.25">
      <c r="A31" s="73"/>
      <c r="B31" s="74"/>
      <c r="C31" s="75"/>
      <c r="D31" s="73"/>
      <c r="E31" s="74"/>
      <c r="F31" s="75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89"/>
      <c r="AB31" s="115"/>
      <c r="AC31" s="115"/>
      <c r="AD31" s="90"/>
      <c r="AE31" s="35"/>
      <c r="AF31" s="35"/>
      <c r="AG31" s="35"/>
      <c r="AH31" s="35"/>
      <c r="AI31" s="35"/>
    </row>
    <row r="32" spans="1:35" s="2" customFormat="1" ht="30" customHeight="1" x14ac:dyDescent="0.25">
      <c r="A32" s="73"/>
      <c r="B32" s="74"/>
      <c r="C32" s="75"/>
      <c r="D32" s="73"/>
      <c r="E32" s="74"/>
      <c r="F32" s="75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89"/>
      <c r="AB32" s="115"/>
      <c r="AC32" s="115"/>
      <c r="AD32" s="90"/>
      <c r="AE32" s="35"/>
      <c r="AF32" s="35"/>
      <c r="AG32" s="35"/>
      <c r="AH32" s="35"/>
      <c r="AI32" s="35"/>
    </row>
    <row r="33" spans="1:35" s="2" customFormat="1" ht="30" customHeight="1" x14ac:dyDescent="0.25">
      <c r="A33" s="73"/>
      <c r="B33" s="74"/>
      <c r="C33" s="75"/>
      <c r="D33" s="73"/>
      <c r="E33" s="74"/>
      <c r="F33" s="75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89"/>
      <c r="AB33" s="115"/>
      <c r="AC33" s="115"/>
      <c r="AD33" s="90"/>
      <c r="AE33" s="35"/>
      <c r="AF33" s="35"/>
      <c r="AG33" s="35"/>
      <c r="AH33" s="35"/>
      <c r="AI33" s="35"/>
    </row>
    <row r="34" spans="1:35" s="2" customFormat="1" ht="30" customHeight="1" x14ac:dyDescent="0.25">
      <c r="A34" s="73"/>
      <c r="B34" s="74"/>
      <c r="C34" s="75"/>
      <c r="D34" s="73"/>
      <c r="E34" s="74"/>
      <c r="F34" s="75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89"/>
      <c r="AB34" s="115"/>
      <c r="AC34" s="115"/>
      <c r="AD34" s="90"/>
      <c r="AE34" s="35"/>
      <c r="AF34" s="35"/>
      <c r="AG34" s="35"/>
      <c r="AH34" s="35"/>
      <c r="AI34" s="35"/>
    </row>
    <row r="35" spans="1:35" s="2" customFormat="1" ht="30" customHeight="1" x14ac:dyDescent="0.25">
      <c r="A35" s="73"/>
      <c r="B35" s="74"/>
      <c r="C35" s="75"/>
      <c r="D35" s="73"/>
      <c r="E35" s="74"/>
      <c r="F35" s="75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89"/>
      <c r="AB35" s="115"/>
      <c r="AC35" s="115"/>
      <c r="AD35" s="90"/>
      <c r="AE35" s="35"/>
      <c r="AF35" s="35"/>
      <c r="AG35" s="35"/>
      <c r="AH35" s="35"/>
      <c r="AI35" s="35"/>
    </row>
    <row r="36" spans="1:35" s="2" customFormat="1" ht="30" customHeight="1" x14ac:dyDescent="0.25">
      <c r="A36" s="73"/>
      <c r="B36" s="74"/>
      <c r="C36" s="75"/>
      <c r="D36" s="73"/>
      <c r="E36" s="74"/>
      <c r="F36" s="75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89"/>
      <c r="AB36" s="115"/>
      <c r="AC36" s="115"/>
      <c r="AD36" s="90"/>
      <c r="AE36" s="35"/>
      <c r="AF36" s="35"/>
      <c r="AG36" s="35"/>
      <c r="AH36" s="35"/>
      <c r="AI36" s="35"/>
    </row>
    <row r="37" spans="1:35" s="2" customFormat="1" ht="30" customHeight="1" x14ac:dyDescent="0.25">
      <c r="A37" s="73"/>
      <c r="B37" s="74"/>
      <c r="C37" s="75"/>
      <c r="D37" s="73"/>
      <c r="E37" s="74"/>
      <c r="F37" s="75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89"/>
      <c r="AB37" s="115"/>
      <c r="AC37" s="115"/>
      <c r="AD37" s="90"/>
      <c r="AE37" s="35"/>
      <c r="AF37" s="35"/>
      <c r="AG37" s="35"/>
      <c r="AH37" s="35"/>
      <c r="AI37" s="35"/>
    </row>
    <row r="38" spans="1:35" s="2" customFormat="1" ht="30" customHeight="1" x14ac:dyDescent="0.25">
      <c r="A38" s="73"/>
      <c r="B38" s="74"/>
      <c r="C38" s="75"/>
      <c r="D38" s="73"/>
      <c r="E38" s="74"/>
      <c r="F38" s="75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89"/>
      <c r="AB38" s="115"/>
      <c r="AC38" s="115"/>
      <c r="AD38" s="90"/>
      <c r="AE38" s="35"/>
      <c r="AF38" s="35"/>
      <c r="AG38" s="35"/>
      <c r="AH38" s="35"/>
      <c r="AI38" s="35"/>
    </row>
    <row r="39" spans="1:35" s="2" customFormat="1" ht="30" customHeight="1" x14ac:dyDescent="0.25">
      <c r="A39" s="73"/>
      <c r="B39" s="74"/>
      <c r="C39" s="75"/>
      <c r="D39" s="73"/>
      <c r="E39" s="74"/>
      <c r="F39" s="75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89"/>
      <c r="AB39" s="115"/>
      <c r="AC39" s="115"/>
      <c r="AD39" s="90"/>
      <c r="AE39" s="35"/>
      <c r="AF39" s="35"/>
      <c r="AG39" s="35"/>
      <c r="AH39" s="35"/>
      <c r="AI39" s="35"/>
    </row>
    <row r="40" spans="1:35" s="2" customFormat="1" ht="30" customHeight="1" x14ac:dyDescent="0.25">
      <c r="A40" s="73"/>
      <c r="B40" s="74"/>
      <c r="C40" s="75"/>
      <c r="D40" s="73"/>
      <c r="E40" s="74"/>
      <c r="F40" s="75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89"/>
      <c r="AB40" s="115"/>
      <c r="AC40" s="115"/>
      <c r="AD40" s="90"/>
      <c r="AE40" s="35"/>
      <c r="AF40" s="35"/>
      <c r="AG40" s="35"/>
      <c r="AH40" s="35"/>
      <c r="AI40" s="35"/>
    </row>
    <row r="41" spans="1:35" s="2" customFormat="1" ht="30" customHeight="1" x14ac:dyDescent="0.25">
      <c r="A41" s="73"/>
      <c r="B41" s="74"/>
      <c r="C41" s="75"/>
      <c r="D41" s="73"/>
      <c r="E41" s="74"/>
      <c r="F41" s="75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89"/>
      <c r="AB41" s="115"/>
      <c r="AC41" s="115"/>
      <c r="AD41" s="90"/>
      <c r="AE41" s="35"/>
      <c r="AF41" s="35"/>
      <c r="AG41" s="35"/>
      <c r="AH41" s="35"/>
      <c r="AI41" s="35"/>
    </row>
    <row r="42" spans="1:35" s="2" customFormat="1" ht="30" customHeight="1" x14ac:dyDescent="0.25">
      <c r="A42" s="73"/>
      <c r="B42" s="74"/>
      <c r="C42" s="75"/>
      <c r="D42" s="73"/>
      <c r="E42" s="74"/>
      <c r="F42" s="75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89"/>
      <c r="AB42" s="115"/>
      <c r="AC42" s="115"/>
      <c r="AD42" s="90"/>
      <c r="AE42" s="35"/>
      <c r="AF42" s="35"/>
      <c r="AG42" s="35"/>
      <c r="AH42" s="35"/>
      <c r="AI42" s="35"/>
    </row>
    <row r="43" spans="1:35" s="2" customFormat="1" ht="30" customHeight="1" x14ac:dyDescent="0.25">
      <c r="A43" s="73"/>
      <c r="B43" s="74"/>
      <c r="C43" s="75"/>
      <c r="D43" s="73"/>
      <c r="E43" s="74"/>
      <c r="F43" s="75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89"/>
      <c r="AB43" s="115"/>
      <c r="AC43" s="115"/>
      <c r="AD43" s="90"/>
      <c r="AE43" s="35"/>
      <c r="AF43" s="35"/>
      <c r="AG43" s="35"/>
      <c r="AH43" s="35"/>
      <c r="AI43" s="35"/>
    </row>
    <row r="44" spans="1:35" s="2" customFormat="1" ht="30" customHeight="1" x14ac:dyDescent="0.25">
      <c r="A44" s="73"/>
      <c r="B44" s="74"/>
      <c r="C44" s="75"/>
      <c r="D44" s="73"/>
      <c r="E44" s="74"/>
      <c r="F44" s="75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89"/>
      <c r="AB44" s="115"/>
      <c r="AC44" s="115"/>
      <c r="AD44" s="90"/>
      <c r="AE44" s="35"/>
      <c r="AF44" s="35"/>
      <c r="AG44" s="35"/>
      <c r="AH44" s="35"/>
      <c r="AI44" s="35"/>
    </row>
    <row r="45" spans="1:35" s="2" customFormat="1" ht="30" customHeight="1" x14ac:dyDescent="0.25">
      <c r="A45" s="73"/>
      <c r="B45" s="74"/>
      <c r="C45" s="75"/>
      <c r="D45" s="73"/>
      <c r="E45" s="74"/>
      <c r="F45" s="75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89"/>
      <c r="AB45" s="115"/>
      <c r="AC45" s="115"/>
      <c r="AD45" s="90"/>
      <c r="AE45" s="35"/>
      <c r="AF45" s="35"/>
      <c r="AG45" s="35"/>
      <c r="AH45" s="35"/>
      <c r="AI45" s="35"/>
    </row>
    <row r="46" spans="1:35" ht="30" customHeight="1" x14ac:dyDescent="0.25"/>
  </sheetData>
  <sheetProtection algorithmName="SHA-512" hashValue="6YDO0xFxkk4V9hwxY4ORVcTilQ3Eo4XewAVY/8a7Vxhh0U/fEorTqwxJzWQpokGBaTRcp4QRi7WvMT4NqFtC3w==" saltValue="jtNDjXdZEirwzhQGBeHUmA==" spinCount="100000" sheet="1" objects="1" scenarios="1" formatCells="0" formatColumns="0" insertRows="0" deleteColumns="0" deleteRows="0"/>
  <mergeCells count="475">
    <mergeCell ref="A38:C38"/>
    <mergeCell ref="A39:C39"/>
    <mergeCell ref="A40:C40"/>
    <mergeCell ref="A41:C41"/>
    <mergeCell ref="A42:C42"/>
    <mergeCell ref="A43:C43"/>
    <mergeCell ref="A44:C44"/>
    <mergeCell ref="A45:C45"/>
    <mergeCell ref="A1:D3"/>
    <mergeCell ref="A29:C29"/>
    <mergeCell ref="A30:C30"/>
    <mergeCell ref="A31:C31"/>
    <mergeCell ref="A32:C32"/>
    <mergeCell ref="A33:C33"/>
    <mergeCell ref="A34:C34"/>
    <mergeCell ref="A35:C35"/>
    <mergeCell ref="A36:C36"/>
    <mergeCell ref="A37:C37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D45:F45"/>
    <mergeCell ref="A7:G7"/>
    <mergeCell ref="H7:T7"/>
    <mergeCell ref="A5:G5"/>
    <mergeCell ref="H5:AD5"/>
    <mergeCell ref="D36:F36"/>
    <mergeCell ref="D37:F37"/>
    <mergeCell ref="D38:F38"/>
    <mergeCell ref="D39:F39"/>
    <mergeCell ref="D40:F40"/>
    <mergeCell ref="D41:F41"/>
    <mergeCell ref="D42:F42"/>
    <mergeCell ref="D43:F43"/>
    <mergeCell ref="D44:F44"/>
    <mergeCell ref="D27:F27"/>
    <mergeCell ref="D28:F28"/>
    <mergeCell ref="D29:F29"/>
    <mergeCell ref="D30:F30"/>
    <mergeCell ref="D31:F31"/>
    <mergeCell ref="D32:F32"/>
    <mergeCell ref="D33:F33"/>
    <mergeCell ref="D34:F34"/>
    <mergeCell ref="D35:F35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G13:H13"/>
    <mergeCell ref="G21:H21"/>
    <mergeCell ref="G25:H25"/>
    <mergeCell ref="I13:J13"/>
    <mergeCell ref="G17:H17"/>
    <mergeCell ref="I17:J17"/>
    <mergeCell ref="K9:N10"/>
    <mergeCell ref="V7:Y7"/>
    <mergeCell ref="Z7:AD7"/>
    <mergeCell ref="D9:F11"/>
    <mergeCell ref="D12:F12"/>
    <mergeCell ref="D13:F13"/>
    <mergeCell ref="D14:F14"/>
    <mergeCell ref="D15:F15"/>
    <mergeCell ref="D16:F16"/>
    <mergeCell ref="D17:F17"/>
    <mergeCell ref="Y11:Z11"/>
    <mergeCell ref="K11:L11"/>
    <mergeCell ref="M11:N11"/>
    <mergeCell ref="O11:P11"/>
    <mergeCell ref="Q11:R11"/>
    <mergeCell ref="S11:T11"/>
    <mergeCell ref="U11:V11"/>
    <mergeCell ref="W11:X11"/>
    <mergeCell ref="AA13:AD13"/>
    <mergeCell ref="G14:H14"/>
    <mergeCell ref="I14:J14"/>
    <mergeCell ref="Z1:AA1"/>
    <mergeCell ref="Z2:AA2"/>
    <mergeCell ref="Z3:AA3"/>
    <mergeCell ref="AB3:AD3"/>
    <mergeCell ref="AB2:AD2"/>
    <mergeCell ref="AB1:AD1"/>
    <mergeCell ref="G9:J10"/>
    <mergeCell ref="O9:R10"/>
    <mergeCell ref="S9:V10"/>
    <mergeCell ref="W9:Z10"/>
    <mergeCell ref="E1:Y3"/>
    <mergeCell ref="AA14:AD14"/>
    <mergeCell ref="AA9:AD11"/>
    <mergeCell ref="G11:H11"/>
    <mergeCell ref="I11:J11"/>
    <mergeCell ref="G12:H12"/>
    <mergeCell ref="I12:J12"/>
    <mergeCell ref="AA12:AD12"/>
    <mergeCell ref="K12:L12"/>
    <mergeCell ref="M12:N12"/>
    <mergeCell ref="O12:P12"/>
    <mergeCell ref="Q12:R12"/>
    <mergeCell ref="S12:T12"/>
    <mergeCell ref="U12:V12"/>
    <mergeCell ref="W12:X12"/>
    <mergeCell ref="Y12:Z12"/>
    <mergeCell ref="K13:L13"/>
    <mergeCell ref="M13:N13"/>
    <mergeCell ref="O13:P13"/>
    <mergeCell ref="Q13:R13"/>
    <mergeCell ref="S13:T13"/>
    <mergeCell ref="U13:V13"/>
    <mergeCell ref="W13:X13"/>
    <mergeCell ref="Y13:Z13"/>
    <mergeCell ref="Y14:Z14"/>
    <mergeCell ref="AA17:AD17"/>
    <mergeCell ref="G18:H18"/>
    <mergeCell ref="I18:J18"/>
    <mergeCell ref="AA18:AD18"/>
    <mergeCell ref="G15:H15"/>
    <mergeCell ref="I15:J15"/>
    <mergeCell ref="AA15:AD15"/>
    <mergeCell ref="G16:H16"/>
    <mergeCell ref="I16:J16"/>
    <mergeCell ref="AA16:AD16"/>
    <mergeCell ref="K16:L16"/>
    <mergeCell ref="M16:N16"/>
    <mergeCell ref="O16:P16"/>
    <mergeCell ref="Q16:R16"/>
    <mergeCell ref="S16:T16"/>
    <mergeCell ref="U16:V16"/>
    <mergeCell ref="W16:X16"/>
    <mergeCell ref="Y16:Z16"/>
    <mergeCell ref="K17:L17"/>
    <mergeCell ref="M17:N17"/>
    <mergeCell ref="O17:P17"/>
    <mergeCell ref="Q17:R17"/>
    <mergeCell ref="S17:T17"/>
    <mergeCell ref="U17:V17"/>
    <mergeCell ref="I21:J21"/>
    <mergeCell ref="AA21:AD21"/>
    <mergeCell ref="G22:H22"/>
    <mergeCell ref="I22:J22"/>
    <mergeCell ref="AA22:AD22"/>
    <mergeCell ref="G19:H19"/>
    <mergeCell ref="I19:J19"/>
    <mergeCell ref="AA19:AD19"/>
    <mergeCell ref="G20:H20"/>
    <mergeCell ref="I20:J20"/>
    <mergeCell ref="AA20:AD20"/>
    <mergeCell ref="K19:L19"/>
    <mergeCell ref="M19:N19"/>
    <mergeCell ref="O19:P19"/>
    <mergeCell ref="Q19:R19"/>
    <mergeCell ref="S19:T19"/>
    <mergeCell ref="U19:V19"/>
    <mergeCell ref="W19:X19"/>
    <mergeCell ref="Y19:Z19"/>
    <mergeCell ref="K20:L20"/>
    <mergeCell ref="M20:N20"/>
    <mergeCell ref="O20:P20"/>
    <mergeCell ref="Q20:R20"/>
    <mergeCell ref="S20:T20"/>
    <mergeCell ref="I25:J25"/>
    <mergeCell ref="AA25:AD25"/>
    <mergeCell ref="G26:H26"/>
    <mergeCell ref="I26:J26"/>
    <mergeCell ref="AA26:AD26"/>
    <mergeCell ref="G23:H23"/>
    <mergeCell ref="I23:J23"/>
    <mergeCell ref="AA23:AD23"/>
    <mergeCell ref="G24:H24"/>
    <mergeCell ref="I24:J24"/>
    <mergeCell ref="AA24:AD24"/>
    <mergeCell ref="K24:L24"/>
    <mergeCell ref="M24:N24"/>
    <mergeCell ref="O24:P24"/>
    <mergeCell ref="Q24:R24"/>
    <mergeCell ref="S24:T24"/>
    <mergeCell ref="U24:V24"/>
    <mergeCell ref="W24:X24"/>
    <mergeCell ref="Y24:Z24"/>
    <mergeCell ref="K25:L25"/>
    <mergeCell ref="M25:N25"/>
    <mergeCell ref="O25:P25"/>
    <mergeCell ref="Q25:R25"/>
    <mergeCell ref="S25:T25"/>
    <mergeCell ref="G29:H29"/>
    <mergeCell ref="I29:J29"/>
    <mergeCell ref="AA29:AD29"/>
    <mergeCell ref="G30:H30"/>
    <mergeCell ref="I30:J30"/>
    <mergeCell ref="AA30:AD30"/>
    <mergeCell ref="G27:H27"/>
    <mergeCell ref="I27:J27"/>
    <mergeCell ref="AA27:AD27"/>
    <mergeCell ref="G28:H28"/>
    <mergeCell ref="I28:J28"/>
    <mergeCell ref="AA28:AD28"/>
    <mergeCell ref="K27:L27"/>
    <mergeCell ref="M27:N27"/>
    <mergeCell ref="O27:P27"/>
    <mergeCell ref="Q27:R27"/>
    <mergeCell ref="S27:T27"/>
    <mergeCell ref="U27:V27"/>
    <mergeCell ref="W27:X27"/>
    <mergeCell ref="Y27:Z27"/>
    <mergeCell ref="K28:L28"/>
    <mergeCell ref="M28:N28"/>
    <mergeCell ref="Y28:Z28"/>
    <mergeCell ref="K29:L29"/>
    <mergeCell ref="G33:H33"/>
    <mergeCell ref="I33:J33"/>
    <mergeCell ref="AA33:AD33"/>
    <mergeCell ref="G34:H34"/>
    <mergeCell ref="I34:J34"/>
    <mergeCell ref="AA34:AD34"/>
    <mergeCell ref="G31:H31"/>
    <mergeCell ref="I31:J31"/>
    <mergeCell ref="AA31:AD31"/>
    <mergeCell ref="G32:H32"/>
    <mergeCell ref="I32:J32"/>
    <mergeCell ref="AA32:AD32"/>
    <mergeCell ref="K32:L32"/>
    <mergeCell ref="M32:N32"/>
    <mergeCell ref="O32:P32"/>
    <mergeCell ref="Q32:R32"/>
    <mergeCell ref="S32:T32"/>
    <mergeCell ref="U32:V32"/>
    <mergeCell ref="W32:X32"/>
    <mergeCell ref="Y32:Z32"/>
    <mergeCell ref="K33:L33"/>
    <mergeCell ref="M33:N33"/>
    <mergeCell ref="Q34:R34"/>
    <mergeCell ref="S34:T34"/>
    <mergeCell ref="G37:H37"/>
    <mergeCell ref="I37:J37"/>
    <mergeCell ref="AA37:AD37"/>
    <mergeCell ref="G38:H38"/>
    <mergeCell ref="I38:J38"/>
    <mergeCell ref="AA38:AD38"/>
    <mergeCell ref="G35:H35"/>
    <mergeCell ref="I35:J35"/>
    <mergeCell ref="AA35:AD35"/>
    <mergeCell ref="G36:H36"/>
    <mergeCell ref="I36:J36"/>
    <mergeCell ref="AA36:AD36"/>
    <mergeCell ref="K35:L35"/>
    <mergeCell ref="M35:N35"/>
    <mergeCell ref="O35:P35"/>
    <mergeCell ref="Q35:R35"/>
    <mergeCell ref="S35:T35"/>
    <mergeCell ref="U35:V35"/>
    <mergeCell ref="W35:X35"/>
    <mergeCell ref="Y35:Z35"/>
    <mergeCell ref="K36:L36"/>
    <mergeCell ref="M36:N36"/>
    <mergeCell ref="O38:P38"/>
    <mergeCell ref="Q38:R38"/>
    <mergeCell ref="G41:H41"/>
    <mergeCell ref="I41:J41"/>
    <mergeCell ref="AA41:AD41"/>
    <mergeCell ref="G42:H42"/>
    <mergeCell ref="I42:J42"/>
    <mergeCell ref="AA42:AD42"/>
    <mergeCell ref="G39:H39"/>
    <mergeCell ref="I39:J39"/>
    <mergeCell ref="AA39:AD39"/>
    <mergeCell ref="G40:H40"/>
    <mergeCell ref="I40:J40"/>
    <mergeCell ref="AA40:AD40"/>
    <mergeCell ref="K40:L40"/>
    <mergeCell ref="M40:N40"/>
    <mergeCell ref="O40:P40"/>
    <mergeCell ref="Q40:R40"/>
    <mergeCell ref="S40:T40"/>
    <mergeCell ref="U40:V40"/>
    <mergeCell ref="W40:X40"/>
    <mergeCell ref="Y40:Z40"/>
    <mergeCell ref="K41:L41"/>
    <mergeCell ref="M41:N41"/>
    <mergeCell ref="G45:H45"/>
    <mergeCell ref="I45:J45"/>
    <mergeCell ref="AA45:AD45"/>
    <mergeCell ref="G43:H43"/>
    <mergeCell ref="I43:J43"/>
    <mergeCell ref="AA43:AD43"/>
    <mergeCell ref="G44:H44"/>
    <mergeCell ref="I44:J44"/>
    <mergeCell ref="AA44:AD44"/>
    <mergeCell ref="K43:L43"/>
    <mergeCell ref="M43:N43"/>
    <mergeCell ref="O43:P43"/>
    <mergeCell ref="Q43:R43"/>
    <mergeCell ref="S43:T43"/>
    <mergeCell ref="U43:V43"/>
    <mergeCell ref="W43:X43"/>
    <mergeCell ref="Y43:Z43"/>
    <mergeCell ref="K44:L44"/>
    <mergeCell ref="M44:N44"/>
    <mergeCell ref="Y45:Z45"/>
    <mergeCell ref="K45:L45"/>
    <mergeCell ref="M45:N45"/>
    <mergeCell ref="O45:P45"/>
    <mergeCell ref="Q45:R45"/>
    <mergeCell ref="K15:L15"/>
    <mergeCell ref="M15:N15"/>
    <mergeCell ref="O15:P15"/>
    <mergeCell ref="Q15:R15"/>
    <mergeCell ref="S15:T15"/>
    <mergeCell ref="U15:V15"/>
    <mergeCell ref="W15:X15"/>
    <mergeCell ref="Y15:Z15"/>
    <mergeCell ref="K14:L14"/>
    <mergeCell ref="M14:N14"/>
    <mergeCell ref="O14:P14"/>
    <mergeCell ref="Q14:R14"/>
    <mergeCell ref="S14:T14"/>
    <mergeCell ref="U14:V14"/>
    <mergeCell ref="W14:X14"/>
    <mergeCell ref="W17:X17"/>
    <mergeCell ref="Y17:Z17"/>
    <mergeCell ref="K18:L18"/>
    <mergeCell ref="M18:N18"/>
    <mergeCell ref="O18:P18"/>
    <mergeCell ref="Q18:R18"/>
    <mergeCell ref="S18:T18"/>
    <mergeCell ref="U18:V18"/>
    <mergeCell ref="W18:X18"/>
    <mergeCell ref="Y18:Z18"/>
    <mergeCell ref="U20:V20"/>
    <mergeCell ref="W20:X20"/>
    <mergeCell ref="Y20:Z20"/>
    <mergeCell ref="K21:L21"/>
    <mergeCell ref="M21:N21"/>
    <mergeCell ref="O21:P21"/>
    <mergeCell ref="Q21:R21"/>
    <mergeCell ref="S21:T21"/>
    <mergeCell ref="U21:V21"/>
    <mergeCell ref="W21:X21"/>
    <mergeCell ref="Y21:Z21"/>
    <mergeCell ref="Y22:Z22"/>
    <mergeCell ref="K23:L23"/>
    <mergeCell ref="M23:N23"/>
    <mergeCell ref="O23:P23"/>
    <mergeCell ref="Q23:R23"/>
    <mergeCell ref="S23:T23"/>
    <mergeCell ref="U23:V23"/>
    <mergeCell ref="W23:X23"/>
    <mergeCell ref="Y23:Z23"/>
    <mergeCell ref="K22:L22"/>
    <mergeCell ref="M22:N22"/>
    <mergeCell ref="O22:P22"/>
    <mergeCell ref="Q22:R22"/>
    <mergeCell ref="S22:T22"/>
    <mergeCell ref="U22:V22"/>
    <mergeCell ref="W22:X22"/>
    <mergeCell ref="U25:V25"/>
    <mergeCell ref="W25:X25"/>
    <mergeCell ref="Y25:Z25"/>
    <mergeCell ref="K26:L26"/>
    <mergeCell ref="M26:N26"/>
    <mergeCell ref="O26:P26"/>
    <mergeCell ref="Q26:R26"/>
    <mergeCell ref="S26:T26"/>
    <mergeCell ref="U26:V26"/>
    <mergeCell ref="W26:X26"/>
    <mergeCell ref="Y26:Z26"/>
    <mergeCell ref="M29:N29"/>
    <mergeCell ref="O29:P29"/>
    <mergeCell ref="Q29:R29"/>
    <mergeCell ref="S29:T29"/>
    <mergeCell ref="U29:V29"/>
    <mergeCell ref="W29:X29"/>
    <mergeCell ref="Y29:Z29"/>
    <mergeCell ref="W30:X30"/>
    <mergeCell ref="O28:P28"/>
    <mergeCell ref="Q28:R28"/>
    <mergeCell ref="S28:T28"/>
    <mergeCell ref="U28:V28"/>
    <mergeCell ref="W28:X28"/>
    <mergeCell ref="W37:X37"/>
    <mergeCell ref="U34:V34"/>
    <mergeCell ref="W34:X34"/>
    <mergeCell ref="Y30:Z30"/>
    <mergeCell ref="K31:L31"/>
    <mergeCell ref="M31:N31"/>
    <mergeCell ref="O31:P31"/>
    <mergeCell ref="Q31:R31"/>
    <mergeCell ref="S31:T31"/>
    <mergeCell ref="U31:V31"/>
    <mergeCell ref="W31:X31"/>
    <mergeCell ref="Y31:Z31"/>
    <mergeCell ref="K30:L30"/>
    <mergeCell ref="M30:N30"/>
    <mergeCell ref="O30:P30"/>
    <mergeCell ref="Q30:R30"/>
    <mergeCell ref="S30:T30"/>
    <mergeCell ref="U30:V30"/>
    <mergeCell ref="Y38:Z38"/>
    <mergeCell ref="Y39:Z39"/>
    <mergeCell ref="W41:X41"/>
    <mergeCell ref="K42:L42"/>
    <mergeCell ref="M42:N42"/>
    <mergeCell ref="O42:P42"/>
    <mergeCell ref="Q42:R42"/>
    <mergeCell ref="S42:T42"/>
    <mergeCell ref="U42:V42"/>
    <mergeCell ref="W42:X42"/>
    <mergeCell ref="K39:L39"/>
    <mergeCell ref="M39:N39"/>
    <mergeCell ref="O39:P39"/>
    <mergeCell ref="Q39:R39"/>
    <mergeCell ref="S39:T39"/>
    <mergeCell ref="U39:V39"/>
    <mergeCell ref="W39:X39"/>
    <mergeCell ref="K38:L38"/>
    <mergeCell ref="M38:N38"/>
    <mergeCell ref="S38:T38"/>
    <mergeCell ref="U38:V38"/>
    <mergeCell ref="W38:X38"/>
    <mergeCell ref="S45:T45"/>
    <mergeCell ref="U45:V45"/>
    <mergeCell ref="W45:X45"/>
    <mergeCell ref="Y41:Z41"/>
    <mergeCell ref="Y42:Z42"/>
    <mergeCell ref="O41:P41"/>
    <mergeCell ref="Q41:R41"/>
    <mergeCell ref="S41:T41"/>
    <mergeCell ref="U41:V41"/>
    <mergeCell ref="O44:P44"/>
    <mergeCell ref="Q44:R44"/>
    <mergeCell ref="S44:T44"/>
    <mergeCell ref="U44:V44"/>
    <mergeCell ref="W44:X44"/>
    <mergeCell ref="Y44:Z44"/>
    <mergeCell ref="A9:C10"/>
    <mergeCell ref="W36:X36"/>
    <mergeCell ref="Y36:Z36"/>
    <mergeCell ref="Y37:Z37"/>
    <mergeCell ref="O33:P33"/>
    <mergeCell ref="Q33:R33"/>
    <mergeCell ref="S33:T33"/>
    <mergeCell ref="U33:V33"/>
    <mergeCell ref="W33:X33"/>
    <mergeCell ref="Y33:Z33"/>
    <mergeCell ref="Y34:Z34"/>
    <mergeCell ref="O36:P36"/>
    <mergeCell ref="Q36:R36"/>
    <mergeCell ref="S36:T36"/>
    <mergeCell ref="U36:V36"/>
    <mergeCell ref="K34:L34"/>
    <mergeCell ref="M34:N34"/>
    <mergeCell ref="O34:P34"/>
    <mergeCell ref="K37:L37"/>
    <mergeCell ref="M37:N37"/>
    <mergeCell ref="O37:P37"/>
    <mergeCell ref="Q37:R37"/>
    <mergeCell ref="S37:T37"/>
    <mergeCell ref="U37:V37"/>
  </mergeCells>
  <printOptions horizontalCentered="1"/>
  <pageMargins left="0.19685039370078741" right="0.19685039370078741" top="0.19685039370078741" bottom="0.39370078740157483" header="0.31496062992125984" footer="0.31496062992125984"/>
  <pageSetup orientation="landscape" r:id="rId1"/>
  <headerFooter>
    <oddFooter>&amp;R&amp;"Arial Narrow,Normal"&amp;9Página: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F1FCA-32A0-42E3-893C-AE9EEB6A02B6}">
  <sheetPr codeName="Hoja6">
    <picture r:id="rId3"/>
  </sheetPr>
  <dimension ref="A1:BG46"/>
  <sheetViews>
    <sheetView view="pageBreakPreview" zoomScaleNormal="100" zoomScaleSheetLayoutView="100" workbookViewId="0">
      <selection activeCell="A12" sqref="A12:C12"/>
    </sheetView>
  </sheetViews>
  <sheetFormatPr baseColWidth="10" defaultColWidth="11.42578125" defaultRowHeight="15.75" x14ac:dyDescent="0.25"/>
  <cols>
    <col min="1" max="1" width="3.5703125" style="1" customWidth="1" collapsed="1"/>
    <col min="2" max="3" width="3.7109375" style="1" customWidth="1" collapsed="1"/>
    <col min="4" max="4" width="4.42578125" style="1" customWidth="1" collapsed="1"/>
    <col min="5" max="5" width="2.42578125" style="1" customWidth="1" collapsed="1"/>
    <col min="6" max="6" width="2.5703125" style="1" customWidth="1" collapsed="1"/>
    <col min="7" max="7" width="3" style="1" customWidth="1" collapsed="1"/>
    <col min="8" max="8" width="4.85546875" style="1" customWidth="1" collapsed="1"/>
    <col min="9" max="9" width="4.42578125" style="1" customWidth="1" collapsed="1"/>
    <col min="10" max="10" width="5" style="1" customWidth="1" collapsed="1"/>
    <col min="11" max="11" width="4" style="1" customWidth="1" collapsed="1"/>
    <col min="12" max="12" width="5.42578125" style="1" customWidth="1" collapsed="1"/>
    <col min="13" max="13" width="5.85546875" style="1" customWidth="1" collapsed="1"/>
    <col min="14" max="14" width="5.7109375" style="1" customWidth="1" collapsed="1"/>
    <col min="15" max="15" width="5" style="1" customWidth="1" collapsed="1"/>
    <col min="16" max="17" width="4.7109375" style="1" customWidth="1" collapsed="1"/>
    <col min="18" max="19" width="5" style="1" customWidth="1" collapsed="1"/>
    <col min="20" max="20" width="5.28515625" style="1" customWidth="1" collapsed="1"/>
    <col min="21" max="21" width="3.85546875" style="1" customWidth="1" collapsed="1"/>
    <col min="22" max="22" width="5.28515625" style="1" customWidth="1" collapsed="1"/>
    <col min="23" max="23" width="4" style="1" customWidth="1" collapsed="1"/>
    <col min="24" max="24" width="4.140625" style="1" customWidth="1" collapsed="1"/>
    <col min="25" max="25" width="4.28515625" style="1" customWidth="1" collapsed="1"/>
    <col min="26" max="26" width="5" style="1" customWidth="1" collapsed="1"/>
    <col min="27" max="27" width="3.7109375" style="1" customWidth="1" collapsed="1"/>
    <col min="28" max="31" width="4.28515625" style="1" customWidth="1" collapsed="1"/>
    <col min="32" max="37" width="4.28515625" style="1" customWidth="1"/>
    <col min="38" max="39" width="11.42578125" style="1" collapsed="1"/>
    <col min="40" max="40" width="24.7109375" style="1" bestFit="1" customWidth="1" collapsed="1"/>
    <col min="41" max="16384" width="11.42578125" style="1" collapsed="1"/>
  </cols>
  <sheetData>
    <row r="1" spans="1:59" ht="18" customHeight="1" x14ac:dyDescent="0.25">
      <c r="A1" s="185"/>
      <c r="B1" s="185"/>
      <c r="C1" s="185"/>
      <c r="D1" s="185"/>
      <c r="E1" s="185"/>
      <c r="F1" s="49" t="s">
        <v>33</v>
      </c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50" t="s">
        <v>3</v>
      </c>
      <c r="AB1" s="50"/>
      <c r="AC1" s="50" t="s">
        <v>258</v>
      </c>
      <c r="AD1" s="50"/>
      <c r="AE1" s="50"/>
      <c r="AF1" s="31"/>
      <c r="AG1" s="31"/>
      <c r="AH1" s="31"/>
      <c r="AI1" s="31"/>
      <c r="AJ1" s="31"/>
      <c r="AK1" s="31"/>
      <c r="AN1" s="11"/>
    </row>
    <row r="2" spans="1:59" ht="18" customHeight="1" x14ac:dyDescent="0.25">
      <c r="A2" s="185"/>
      <c r="B2" s="185"/>
      <c r="C2" s="185"/>
      <c r="D2" s="185"/>
      <c r="E2" s="185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50" t="s">
        <v>1</v>
      </c>
      <c r="AB2" s="50"/>
      <c r="AC2" s="207">
        <v>5</v>
      </c>
      <c r="AD2" s="207"/>
      <c r="AE2" s="207"/>
      <c r="AF2" s="31"/>
      <c r="AG2" s="31"/>
      <c r="AH2" s="31"/>
      <c r="AI2" s="31"/>
      <c r="AJ2" s="31"/>
      <c r="AK2" s="31"/>
      <c r="AN2" s="11"/>
    </row>
    <row r="3" spans="1:59" ht="18" customHeight="1" x14ac:dyDescent="0.25">
      <c r="A3" s="185"/>
      <c r="B3" s="185"/>
      <c r="C3" s="185"/>
      <c r="D3" s="185"/>
      <c r="E3" s="18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50" t="s">
        <v>2</v>
      </c>
      <c r="AB3" s="50"/>
      <c r="AC3" s="208">
        <v>45434</v>
      </c>
      <c r="AD3" s="208"/>
      <c r="AE3" s="208"/>
      <c r="AF3" s="31"/>
      <c r="AG3" s="31"/>
      <c r="AH3" s="31"/>
      <c r="AI3" s="31"/>
      <c r="AJ3" s="31"/>
      <c r="AK3" s="31"/>
      <c r="AN3" s="11"/>
    </row>
    <row r="4" spans="1:59" s="2" customFormat="1" ht="5.0999999999999996" customHeight="1" x14ac:dyDescent="0.25">
      <c r="AN4" s="8"/>
    </row>
    <row r="5" spans="1:59" s="2" customFormat="1" ht="18" customHeight="1" x14ac:dyDescent="0.25">
      <c r="A5" s="125" t="s">
        <v>227</v>
      </c>
      <c r="B5" s="125"/>
      <c r="C5" s="125"/>
      <c r="D5" s="125"/>
      <c r="E5" s="125"/>
      <c r="F5" s="125"/>
      <c r="G5" s="125"/>
      <c r="H5" s="125"/>
      <c r="I5" s="102">
        <f>+Registro!$K$5</f>
        <v>0</v>
      </c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36"/>
      <c r="AG5" s="36"/>
      <c r="AH5" s="36"/>
      <c r="AI5" s="36"/>
      <c r="AJ5" s="36"/>
      <c r="AK5" s="36"/>
      <c r="AN5" s="8"/>
    </row>
    <row r="6" spans="1:59" s="2" customFormat="1" ht="5.0999999999999996" customHeight="1" x14ac:dyDescent="0.25">
      <c r="AN6" s="8"/>
    </row>
    <row r="7" spans="1:59" s="2" customFormat="1" ht="18" customHeight="1" x14ac:dyDescent="0.25">
      <c r="A7" s="125" t="s">
        <v>28</v>
      </c>
      <c r="B7" s="125"/>
      <c r="C7" s="125"/>
      <c r="D7" s="125"/>
      <c r="E7" s="125"/>
      <c r="F7" s="125"/>
      <c r="G7" s="125"/>
      <c r="H7" s="125"/>
      <c r="I7" s="132" t="s">
        <v>238</v>
      </c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6"/>
      <c r="U7" s="131" t="s">
        <v>38</v>
      </c>
      <c r="V7" s="131"/>
      <c r="W7" s="131"/>
      <c r="X7" s="132" t="s">
        <v>246</v>
      </c>
      <c r="Y7" s="132"/>
      <c r="Z7" s="132"/>
      <c r="AA7" s="132"/>
      <c r="AB7" s="132"/>
      <c r="AC7" s="132"/>
      <c r="AD7" s="132"/>
      <c r="AE7" s="132"/>
      <c r="AF7" s="9"/>
      <c r="AG7" s="9"/>
      <c r="AH7" s="9"/>
      <c r="AI7" s="9"/>
      <c r="AJ7" s="9"/>
      <c r="AK7" s="9"/>
      <c r="AN7" s="8"/>
    </row>
    <row r="8" spans="1:59" s="2" customFormat="1" ht="5.0999999999999996" customHeight="1" x14ac:dyDescent="0.25">
      <c r="AN8" s="8"/>
    </row>
    <row r="9" spans="1:59" s="2" customFormat="1" ht="26.25" customHeight="1" x14ac:dyDescent="0.25">
      <c r="A9" s="116" t="s">
        <v>42</v>
      </c>
      <c r="B9" s="117"/>
      <c r="C9" s="118"/>
      <c r="D9" s="116" t="s">
        <v>239</v>
      </c>
      <c r="E9" s="117"/>
      <c r="F9" s="117"/>
      <c r="G9" s="118"/>
      <c r="H9" s="133" t="s">
        <v>240</v>
      </c>
      <c r="I9" s="133"/>
      <c r="J9" s="133"/>
      <c r="K9" s="133"/>
      <c r="L9" s="116" t="s">
        <v>53</v>
      </c>
      <c r="M9" s="117"/>
      <c r="N9" s="117"/>
      <c r="O9" s="118"/>
      <c r="P9" s="116" t="s">
        <v>242</v>
      </c>
      <c r="Q9" s="117"/>
      <c r="R9" s="117"/>
      <c r="S9" s="118"/>
      <c r="T9" s="116" t="s">
        <v>241</v>
      </c>
      <c r="U9" s="117"/>
      <c r="V9" s="117"/>
      <c r="W9" s="118"/>
      <c r="X9" s="183" t="s">
        <v>40</v>
      </c>
      <c r="Y9" s="183"/>
      <c r="Z9" s="183"/>
      <c r="AA9" s="183"/>
      <c r="AB9" s="116" t="s">
        <v>0</v>
      </c>
      <c r="AC9" s="117"/>
      <c r="AD9" s="117"/>
      <c r="AE9" s="118"/>
      <c r="AF9" s="34"/>
      <c r="AG9" s="34"/>
      <c r="AH9" s="34"/>
      <c r="AI9" s="34"/>
      <c r="AJ9" s="34"/>
      <c r="AK9" s="34"/>
    </row>
    <row r="10" spans="1:59" s="2" customFormat="1" ht="33.75" customHeight="1" x14ac:dyDescent="0.25">
      <c r="A10" s="119"/>
      <c r="B10" s="120"/>
      <c r="C10" s="121"/>
      <c r="D10" s="119"/>
      <c r="E10" s="120"/>
      <c r="F10" s="120"/>
      <c r="G10" s="121"/>
      <c r="H10" s="133"/>
      <c r="I10" s="133"/>
      <c r="J10" s="133"/>
      <c r="K10" s="133"/>
      <c r="L10" s="122"/>
      <c r="M10" s="123"/>
      <c r="N10" s="123"/>
      <c r="O10" s="124"/>
      <c r="P10" s="122"/>
      <c r="Q10" s="123"/>
      <c r="R10" s="123"/>
      <c r="S10" s="124"/>
      <c r="T10" s="122"/>
      <c r="U10" s="123"/>
      <c r="V10" s="123"/>
      <c r="W10" s="124"/>
      <c r="X10" s="183"/>
      <c r="Y10" s="183"/>
      <c r="Z10" s="183"/>
      <c r="AA10" s="183"/>
      <c r="AB10" s="119"/>
      <c r="AC10" s="120"/>
      <c r="AD10" s="120"/>
      <c r="AE10" s="121"/>
      <c r="AF10" s="34"/>
      <c r="AG10" s="34"/>
      <c r="AH10" s="34"/>
      <c r="AI10" s="34"/>
      <c r="AJ10" s="34"/>
      <c r="AK10" s="34"/>
    </row>
    <row r="11" spans="1:59" s="2" customFormat="1" ht="18" customHeight="1" x14ac:dyDescent="0.25">
      <c r="A11" s="82" t="s">
        <v>236</v>
      </c>
      <c r="B11" s="83"/>
      <c r="C11" s="84"/>
      <c r="D11" s="122"/>
      <c r="E11" s="123"/>
      <c r="F11" s="123"/>
      <c r="G11" s="124"/>
      <c r="H11" s="77" t="s">
        <v>5</v>
      </c>
      <c r="I11" s="77"/>
      <c r="J11" s="77" t="s">
        <v>6</v>
      </c>
      <c r="K11" s="77"/>
      <c r="L11" s="77" t="s">
        <v>5</v>
      </c>
      <c r="M11" s="77"/>
      <c r="N11" s="77" t="s">
        <v>6</v>
      </c>
      <c r="O11" s="77"/>
      <c r="P11" s="77" t="s">
        <v>5</v>
      </c>
      <c r="Q11" s="77"/>
      <c r="R11" s="77" t="s">
        <v>6</v>
      </c>
      <c r="S11" s="77"/>
      <c r="T11" s="77" t="s">
        <v>5</v>
      </c>
      <c r="U11" s="77"/>
      <c r="V11" s="77" t="s">
        <v>6</v>
      </c>
      <c r="W11" s="77"/>
      <c r="X11" s="77" t="s">
        <v>5</v>
      </c>
      <c r="Y11" s="77"/>
      <c r="Z11" s="77" t="s">
        <v>6</v>
      </c>
      <c r="AA11" s="77"/>
      <c r="AB11" s="122"/>
      <c r="AC11" s="123"/>
      <c r="AD11" s="123"/>
      <c r="AE11" s="124"/>
      <c r="AF11" s="34"/>
      <c r="AG11" s="34"/>
      <c r="AH11" s="34"/>
      <c r="AI11" s="34"/>
      <c r="AJ11" s="34"/>
      <c r="AK11" s="34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</row>
    <row r="12" spans="1:59" s="2" customFormat="1" ht="30" customHeight="1" x14ac:dyDescent="0.25">
      <c r="A12" s="73"/>
      <c r="B12" s="74"/>
      <c r="C12" s="75"/>
      <c r="D12" s="89"/>
      <c r="E12" s="115"/>
      <c r="F12" s="115"/>
      <c r="G12" s="90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89"/>
      <c r="AC12" s="115"/>
      <c r="AD12" s="115"/>
      <c r="AE12" s="90"/>
      <c r="AF12" s="35"/>
      <c r="AG12" s="35"/>
      <c r="AH12" s="35"/>
      <c r="AI12" s="35"/>
      <c r="AJ12" s="35"/>
      <c r="AK12" s="35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</row>
    <row r="13" spans="1:59" s="2" customFormat="1" ht="30" customHeight="1" x14ac:dyDescent="0.25">
      <c r="A13" s="73"/>
      <c r="B13" s="74"/>
      <c r="C13" s="75"/>
      <c r="D13" s="89"/>
      <c r="E13" s="115"/>
      <c r="F13" s="115"/>
      <c r="G13" s="90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89"/>
      <c r="AC13" s="115"/>
      <c r="AD13" s="115"/>
      <c r="AE13" s="90"/>
      <c r="AF13" s="35"/>
      <c r="AG13" s="35"/>
      <c r="AH13" s="35"/>
      <c r="AI13" s="35"/>
      <c r="AJ13" s="35"/>
      <c r="AK13" s="35"/>
    </row>
    <row r="14" spans="1:59" s="2" customFormat="1" ht="30" customHeight="1" x14ac:dyDescent="0.25">
      <c r="A14" s="73"/>
      <c r="B14" s="74"/>
      <c r="C14" s="75"/>
      <c r="D14" s="89"/>
      <c r="E14" s="115"/>
      <c r="F14" s="115"/>
      <c r="G14" s="90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89"/>
      <c r="AC14" s="115"/>
      <c r="AD14" s="115"/>
      <c r="AE14" s="90"/>
      <c r="AF14" s="35"/>
      <c r="AG14" s="35"/>
      <c r="AH14" s="35"/>
      <c r="AI14" s="35"/>
      <c r="AJ14" s="35"/>
      <c r="AK14" s="35"/>
    </row>
    <row r="15" spans="1:59" s="2" customFormat="1" ht="30" customHeight="1" x14ac:dyDescent="0.25">
      <c r="A15" s="73"/>
      <c r="B15" s="74"/>
      <c r="C15" s="75"/>
      <c r="D15" s="89"/>
      <c r="E15" s="115"/>
      <c r="F15" s="115"/>
      <c r="G15" s="90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89"/>
      <c r="AC15" s="115"/>
      <c r="AD15" s="115"/>
      <c r="AE15" s="90"/>
      <c r="AF15" s="35"/>
      <c r="AG15" s="35"/>
      <c r="AH15" s="35"/>
      <c r="AI15" s="35"/>
      <c r="AJ15" s="35"/>
      <c r="AK15" s="35"/>
    </row>
    <row r="16" spans="1:59" s="2" customFormat="1" ht="30" customHeight="1" x14ac:dyDescent="0.25">
      <c r="A16" s="73"/>
      <c r="B16" s="74"/>
      <c r="C16" s="75"/>
      <c r="D16" s="89"/>
      <c r="E16" s="115"/>
      <c r="F16" s="115"/>
      <c r="G16" s="90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89"/>
      <c r="AC16" s="115"/>
      <c r="AD16" s="115"/>
      <c r="AE16" s="90"/>
      <c r="AF16" s="35"/>
      <c r="AG16" s="35"/>
      <c r="AH16" s="35"/>
      <c r="AI16" s="35"/>
      <c r="AJ16" s="35"/>
      <c r="AK16" s="35"/>
    </row>
    <row r="17" spans="1:37" s="2" customFormat="1" ht="30" customHeight="1" x14ac:dyDescent="0.25">
      <c r="A17" s="73"/>
      <c r="B17" s="74"/>
      <c r="C17" s="75"/>
      <c r="D17" s="89"/>
      <c r="E17" s="115"/>
      <c r="F17" s="115"/>
      <c r="G17" s="90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89"/>
      <c r="AC17" s="115"/>
      <c r="AD17" s="115"/>
      <c r="AE17" s="90"/>
      <c r="AF17" s="35"/>
      <c r="AG17" s="35"/>
      <c r="AH17" s="35"/>
      <c r="AI17" s="35"/>
      <c r="AJ17" s="35"/>
      <c r="AK17" s="35"/>
    </row>
    <row r="18" spans="1:37" s="2" customFormat="1" ht="30" customHeight="1" x14ac:dyDescent="0.25">
      <c r="A18" s="73"/>
      <c r="B18" s="74"/>
      <c r="C18" s="75"/>
      <c r="D18" s="89"/>
      <c r="E18" s="115"/>
      <c r="F18" s="115"/>
      <c r="G18" s="90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89"/>
      <c r="AC18" s="115"/>
      <c r="AD18" s="115"/>
      <c r="AE18" s="90"/>
      <c r="AF18" s="35"/>
      <c r="AG18" s="35"/>
      <c r="AH18" s="35"/>
      <c r="AI18" s="35"/>
      <c r="AJ18" s="35"/>
      <c r="AK18" s="35"/>
    </row>
    <row r="19" spans="1:37" s="2" customFormat="1" ht="30" customHeight="1" x14ac:dyDescent="0.25">
      <c r="A19" s="73"/>
      <c r="B19" s="74"/>
      <c r="C19" s="75"/>
      <c r="D19" s="89"/>
      <c r="E19" s="115"/>
      <c r="F19" s="115"/>
      <c r="G19" s="90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89"/>
      <c r="AC19" s="115"/>
      <c r="AD19" s="115"/>
      <c r="AE19" s="90"/>
      <c r="AF19" s="35"/>
      <c r="AG19" s="35"/>
      <c r="AH19" s="35"/>
      <c r="AI19" s="35"/>
      <c r="AJ19" s="35"/>
      <c r="AK19" s="35"/>
    </row>
    <row r="20" spans="1:37" s="2" customFormat="1" ht="30" customHeight="1" x14ac:dyDescent="0.25">
      <c r="A20" s="73"/>
      <c r="B20" s="74"/>
      <c r="C20" s="75"/>
      <c r="D20" s="89"/>
      <c r="E20" s="115"/>
      <c r="F20" s="115"/>
      <c r="G20" s="90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89"/>
      <c r="AC20" s="115"/>
      <c r="AD20" s="115"/>
      <c r="AE20" s="90"/>
      <c r="AF20" s="35"/>
      <c r="AG20" s="35"/>
      <c r="AH20" s="35"/>
      <c r="AI20" s="35"/>
      <c r="AJ20" s="35"/>
      <c r="AK20" s="35"/>
    </row>
    <row r="21" spans="1:37" s="2" customFormat="1" ht="30" customHeight="1" x14ac:dyDescent="0.25">
      <c r="A21" s="73"/>
      <c r="B21" s="74"/>
      <c r="C21" s="75"/>
      <c r="D21" s="89"/>
      <c r="E21" s="115"/>
      <c r="F21" s="115"/>
      <c r="G21" s="90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89"/>
      <c r="AC21" s="115"/>
      <c r="AD21" s="115"/>
      <c r="AE21" s="90"/>
      <c r="AF21" s="35"/>
      <c r="AG21" s="35"/>
      <c r="AH21" s="35"/>
      <c r="AI21" s="35"/>
      <c r="AJ21" s="35"/>
      <c r="AK21" s="35"/>
    </row>
    <row r="22" spans="1:37" s="2" customFormat="1" ht="30" customHeight="1" x14ac:dyDescent="0.25">
      <c r="A22" s="73"/>
      <c r="B22" s="74"/>
      <c r="C22" s="75"/>
      <c r="D22" s="89"/>
      <c r="E22" s="115"/>
      <c r="F22" s="115"/>
      <c r="G22" s="90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89"/>
      <c r="AC22" s="115"/>
      <c r="AD22" s="115"/>
      <c r="AE22" s="90"/>
      <c r="AF22" s="35"/>
      <c r="AG22" s="35"/>
      <c r="AH22" s="35"/>
      <c r="AI22" s="35"/>
      <c r="AJ22" s="35"/>
      <c r="AK22" s="35"/>
    </row>
    <row r="23" spans="1:37" s="2" customFormat="1" ht="30" customHeight="1" x14ac:dyDescent="0.25">
      <c r="A23" s="73"/>
      <c r="B23" s="74"/>
      <c r="C23" s="75"/>
      <c r="D23" s="89"/>
      <c r="E23" s="115"/>
      <c r="F23" s="115"/>
      <c r="G23" s="90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89"/>
      <c r="AC23" s="115"/>
      <c r="AD23" s="115"/>
      <c r="AE23" s="90"/>
      <c r="AF23" s="35"/>
      <c r="AG23" s="35"/>
      <c r="AH23" s="35"/>
      <c r="AI23" s="35"/>
      <c r="AJ23" s="35"/>
      <c r="AK23" s="35"/>
    </row>
    <row r="24" spans="1:37" s="2" customFormat="1" ht="30" customHeight="1" x14ac:dyDescent="0.25">
      <c r="A24" s="73"/>
      <c r="B24" s="74"/>
      <c r="C24" s="75"/>
      <c r="D24" s="89"/>
      <c r="E24" s="115"/>
      <c r="F24" s="115"/>
      <c r="G24" s="90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89"/>
      <c r="AC24" s="115"/>
      <c r="AD24" s="115"/>
      <c r="AE24" s="90"/>
      <c r="AF24" s="35"/>
      <c r="AG24" s="35"/>
      <c r="AH24" s="35"/>
      <c r="AI24" s="35"/>
      <c r="AJ24" s="35"/>
      <c r="AK24" s="35"/>
    </row>
    <row r="25" spans="1:37" s="2" customFormat="1" ht="30" customHeight="1" x14ac:dyDescent="0.25">
      <c r="A25" s="73"/>
      <c r="B25" s="74"/>
      <c r="C25" s="75"/>
      <c r="D25" s="89"/>
      <c r="E25" s="115"/>
      <c r="F25" s="115"/>
      <c r="G25" s="90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89"/>
      <c r="AC25" s="115"/>
      <c r="AD25" s="115"/>
      <c r="AE25" s="90"/>
      <c r="AF25" s="35"/>
      <c r="AG25" s="35"/>
      <c r="AH25" s="35"/>
      <c r="AI25" s="35"/>
      <c r="AJ25" s="35"/>
      <c r="AK25" s="35"/>
    </row>
    <row r="26" spans="1:37" s="2" customFormat="1" ht="30" customHeight="1" x14ac:dyDescent="0.25">
      <c r="A26" s="73"/>
      <c r="B26" s="74"/>
      <c r="C26" s="75"/>
      <c r="D26" s="89"/>
      <c r="E26" s="115"/>
      <c r="F26" s="115"/>
      <c r="G26" s="90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89"/>
      <c r="AC26" s="115"/>
      <c r="AD26" s="115"/>
      <c r="AE26" s="90"/>
      <c r="AF26" s="35"/>
      <c r="AG26" s="35"/>
      <c r="AH26" s="35"/>
      <c r="AI26" s="35"/>
      <c r="AJ26" s="35"/>
      <c r="AK26" s="35"/>
    </row>
    <row r="27" spans="1:37" s="2" customFormat="1" ht="30" customHeight="1" x14ac:dyDescent="0.25">
      <c r="A27" s="73"/>
      <c r="B27" s="74"/>
      <c r="C27" s="75"/>
      <c r="D27" s="89"/>
      <c r="E27" s="115"/>
      <c r="F27" s="115"/>
      <c r="G27" s="90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89"/>
      <c r="AC27" s="115"/>
      <c r="AD27" s="115"/>
      <c r="AE27" s="90"/>
      <c r="AF27" s="35"/>
      <c r="AG27" s="35"/>
      <c r="AH27" s="35"/>
      <c r="AI27" s="35"/>
      <c r="AJ27" s="35"/>
      <c r="AK27" s="35"/>
    </row>
    <row r="28" spans="1:37" s="2" customFormat="1" ht="30" customHeight="1" x14ac:dyDescent="0.25">
      <c r="A28" s="73"/>
      <c r="B28" s="74"/>
      <c r="C28" s="75"/>
      <c r="D28" s="89"/>
      <c r="E28" s="115"/>
      <c r="F28" s="115"/>
      <c r="G28" s="90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89"/>
      <c r="AC28" s="115"/>
      <c r="AD28" s="115"/>
      <c r="AE28" s="90"/>
      <c r="AF28" s="35"/>
      <c r="AG28" s="35"/>
      <c r="AH28" s="35"/>
      <c r="AI28" s="35"/>
      <c r="AJ28" s="35"/>
      <c r="AK28" s="35"/>
    </row>
    <row r="29" spans="1:37" s="2" customFormat="1" ht="30" customHeight="1" x14ac:dyDescent="0.25">
      <c r="A29" s="73"/>
      <c r="B29" s="74"/>
      <c r="C29" s="75"/>
      <c r="D29" s="89"/>
      <c r="E29" s="115"/>
      <c r="F29" s="115"/>
      <c r="G29" s="90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89"/>
      <c r="AC29" s="115"/>
      <c r="AD29" s="115"/>
      <c r="AE29" s="90"/>
      <c r="AF29" s="35"/>
      <c r="AG29" s="35"/>
      <c r="AH29" s="35"/>
      <c r="AI29" s="35"/>
      <c r="AJ29" s="35"/>
      <c r="AK29" s="35"/>
    </row>
    <row r="30" spans="1:37" s="2" customFormat="1" ht="30" customHeight="1" x14ac:dyDescent="0.25">
      <c r="A30" s="73"/>
      <c r="B30" s="74"/>
      <c r="C30" s="75"/>
      <c r="D30" s="89"/>
      <c r="E30" s="115"/>
      <c r="F30" s="115"/>
      <c r="G30" s="90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89"/>
      <c r="AC30" s="115"/>
      <c r="AD30" s="115"/>
      <c r="AE30" s="90"/>
      <c r="AF30" s="35"/>
      <c r="AG30" s="35"/>
      <c r="AH30" s="35"/>
      <c r="AI30" s="35"/>
      <c r="AJ30" s="35"/>
      <c r="AK30" s="35"/>
    </row>
    <row r="31" spans="1:37" s="2" customFormat="1" ht="30" customHeight="1" x14ac:dyDescent="0.25">
      <c r="A31" s="73"/>
      <c r="B31" s="74"/>
      <c r="C31" s="75"/>
      <c r="D31" s="89"/>
      <c r="E31" s="115"/>
      <c r="F31" s="115"/>
      <c r="G31" s="90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89"/>
      <c r="AC31" s="115"/>
      <c r="AD31" s="115"/>
      <c r="AE31" s="90"/>
      <c r="AF31" s="35"/>
      <c r="AG31" s="35"/>
      <c r="AH31" s="35"/>
      <c r="AI31" s="35"/>
      <c r="AJ31" s="35"/>
      <c r="AK31" s="35"/>
    </row>
    <row r="32" spans="1:37" s="2" customFormat="1" ht="30" customHeight="1" x14ac:dyDescent="0.25">
      <c r="A32" s="73"/>
      <c r="B32" s="74"/>
      <c r="C32" s="75"/>
      <c r="D32" s="89"/>
      <c r="E32" s="115"/>
      <c r="F32" s="115"/>
      <c r="G32" s="90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89"/>
      <c r="AC32" s="115"/>
      <c r="AD32" s="115"/>
      <c r="AE32" s="90"/>
      <c r="AF32" s="35"/>
      <c r="AG32" s="35"/>
      <c r="AH32" s="35"/>
      <c r="AI32" s="35"/>
      <c r="AJ32" s="35"/>
      <c r="AK32" s="35"/>
    </row>
    <row r="33" spans="1:39" s="2" customFormat="1" ht="30" customHeight="1" x14ac:dyDescent="0.25">
      <c r="A33" s="73"/>
      <c r="B33" s="74"/>
      <c r="C33" s="75"/>
      <c r="D33" s="89"/>
      <c r="E33" s="115"/>
      <c r="F33" s="115"/>
      <c r="G33" s="90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89"/>
      <c r="AC33" s="115"/>
      <c r="AD33" s="115"/>
      <c r="AE33" s="90"/>
      <c r="AF33" s="35"/>
      <c r="AG33" s="35"/>
      <c r="AH33" s="35"/>
      <c r="AI33" s="35"/>
      <c r="AJ33" s="35"/>
      <c r="AK33" s="35"/>
    </row>
    <row r="34" spans="1:39" s="2" customFormat="1" ht="30" customHeight="1" x14ac:dyDescent="0.25">
      <c r="A34" s="73"/>
      <c r="B34" s="74"/>
      <c r="C34" s="75"/>
      <c r="D34" s="89"/>
      <c r="E34" s="115"/>
      <c r="F34" s="115"/>
      <c r="G34" s="90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89"/>
      <c r="AC34" s="115"/>
      <c r="AD34" s="115"/>
      <c r="AE34" s="90"/>
      <c r="AF34" s="35"/>
      <c r="AG34" s="35"/>
      <c r="AH34" s="35"/>
      <c r="AI34" s="35"/>
      <c r="AJ34" s="35"/>
      <c r="AK34" s="35"/>
    </row>
    <row r="35" spans="1:39" s="2" customFormat="1" ht="30" customHeight="1" x14ac:dyDescent="0.25">
      <c r="A35" s="73"/>
      <c r="B35" s="74"/>
      <c r="C35" s="75"/>
      <c r="D35" s="89"/>
      <c r="E35" s="115"/>
      <c r="F35" s="115"/>
      <c r="G35" s="90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89"/>
      <c r="AC35" s="115"/>
      <c r="AD35" s="115"/>
      <c r="AE35" s="90"/>
      <c r="AF35" s="35"/>
      <c r="AG35" s="35"/>
      <c r="AH35" s="35"/>
      <c r="AI35" s="35"/>
      <c r="AJ35" s="35"/>
      <c r="AK35" s="35"/>
    </row>
    <row r="36" spans="1:39" s="2" customFormat="1" ht="30" customHeight="1" x14ac:dyDescent="0.25">
      <c r="A36" s="73"/>
      <c r="B36" s="74"/>
      <c r="C36" s="75"/>
      <c r="D36" s="89"/>
      <c r="E36" s="115"/>
      <c r="F36" s="115"/>
      <c r="G36" s="90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89"/>
      <c r="AC36" s="115"/>
      <c r="AD36" s="115"/>
      <c r="AE36" s="90"/>
      <c r="AF36" s="35"/>
      <c r="AG36" s="35"/>
      <c r="AH36" s="35"/>
      <c r="AI36" s="35"/>
      <c r="AJ36" s="35"/>
      <c r="AK36" s="35"/>
    </row>
    <row r="37" spans="1:39" s="2" customFormat="1" ht="30" customHeight="1" x14ac:dyDescent="0.25">
      <c r="A37" s="73"/>
      <c r="B37" s="74"/>
      <c r="C37" s="75"/>
      <c r="D37" s="89"/>
      <c r="E37" s="115"/>
      <c r="F37" s="115"/>
      <c r="G37" s="90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89"/>
      <c r="AC37" s="115"/>
      <c r="AD37" s="115"/>
      <c r="AE37" s="90"/>
      <c r="AF37" s="35"/>
      <c r="AG37" s="35"/>
      <c r="AH37" s="35"/>
      <c r="AI37" s="35"/>
      <c r="AJ37" s="35"/>
      <c r="AK37" s="35"/>
    </row>
    <row r="38" spans="1:39" s="2" customFormat="1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s="2" customFormat="1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s="2" customFormat="1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s="2" customFormat="1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1:39" s="2" customFormat="1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1:39" s="2" customFormat="1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s="2" customFormat="1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s="2" customFormat="1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</sheetData>
  <sheetProtection algorithmName="SHA-512" hashValue="EWkrVKEztBUbTeDz3Pn7DG7yIMBowwf9l0EM2w/44B2Pnc+SQE6+mLe6tZaDtVWNnbp8pwq+W4pk0+6x6YTh1g==" saltValue="+on10IrP2EFLq31TqqRK+g==" spinCount="100000" sheet="1" objects="1" scenarios="1" formatCells="0" formatColumns="0" formatRows="0" insertRows="0" deleteRows="0"/>
  <mergeCells count="371">
    <mergeCell ref="A30:C30"/>
    <mergeCell ref="A31:C31"/>
    <mergeCell ref="A32:C32"/>
    <mergeCell ref="A33:C33"/>
    <mergeCell ref="A34:C34"/>
    <mergeCell ref="A35:C35"/>
    <mergeCell ref="A36:C36"/>
    <mergeCell ref="A37:C37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D33:G33"/>
    <mergeCell ref="D34:G34"/>
    <mergeCell ref="D35:G35"/>
    <mergeCell ref="D36:G36"/>
    <mergeCell ref="D37:G37"/>
    <mergeCell ref="D27:G27"/>
    <mergeCell ref="D28:G28"/>
    <mergeCell ref="D29:G29"/>
    <mergeCell ref="D30:G30"/>
    <mergeCell ref="D31:G31"/>
    <mergeCell ref="D32:G32"/>
    <mergeCell ref="D22:G22"/>
    <mergeCell ref="D23:G23"/>
    <mergeCell ref="D24:G24"/>
    <mergeCell ref="D25:G25"/>
    <mergeCell ref="D26:G26"/>
    <mergeCell ref="D15:G15"/>
    <mergeCell ref="D16:G16"/>
    <mergeCell ref="D17:G17"/>
    <mergeCell ref="D18:G18"/>
    <mergeCell ref="D19:G19"/>
    <mergeCell ref="D20:G20"/>
    <mergeCell ref="D12:G12"/>
    <mergeCell ref="D13:G13"/>
    <mergeCell ref="D14:G14"/>
    <mergeCell ref="V37:W37"/>
    <mergeCell ref="X37:Y37"/>
    <mergeCell ref="Z37:AA37"/>
    <mergeCell ref="AB37:AE37"/>
    <mergeCell ref="AB36:AE36"/>
    <mergeCell ref="H37:I37"/>
    <mergeCell ref="J37:K37"/>
    <mergeCell ref="L37:M37"/>
    <mergeCell ref="N37:O37"/>
    <mergeCell ref="P37:Q37"/>
    <mergeCell ref="R37:S37"/>
    <mergeCell ref="T37:U37"/>
    <mergeCell ref="P36:Q36"/>
    <mergeCell ref="R36:S36"/>
    <mergeCell ref="T36:U36"/>
    <mergeCell ref="V36:W36"/>
    <mergeCell ref="X36:Y36"/>
    <mergeCell ref="Z36:AA36"/>
    <mergeCell ref="V35:W35"/>
    <mergeCell ref="X35:Y35"/>
    <mergeCell ref="D21:G21"/>
    <mergeCell ref="Z35:AA35"/>
    <mergeCell ref="AB35:AE35"/>
    <mergeCell ref="H36:I36"/>
    <mergeCell ref="J36:K36"/>
    <mergeCell ref="L36:M36"/>
    <mergeCell ref="N36:O36"/>
    <mergeCell ref="AB34:AE34"/>
    <mergeCell ref="H35:I35"/>
    <mergeCell ref="J35:K35"/>
    <mergeCell ref="L35:M35"/>
    <mergeCell ref="N35:O35"/>
    <mergeCell ref="P35:Q35"/>
    <mergeCell ref="R35:S35"/>
    <mergeCell ref="T35:U35"/>
    <mergeCell ref="P34:Q34"/>
    <mergeCell ref="R34:S34"/>
    <mergeCell ref="T34:U34"/>
    <mergeCell ref="V34:W34"/>
    <mergeCell ref="X34:Y34"/>
    <mergeCell ref="Z34:AA34"/>
    <mergeCell ref="V33:W33"/>
    <mergeCell ref="X33:Y33"/>
    <mergeCell ref="Z33:AA33"/>
    <mergeCell ref="AB33:AE33"/>
    <mergeCell ref="H34:I34"/>
    <mergeCell ref="J34:K34"/>
    <mergeCell ref="L34:M34"/>
    <mergeCell ref="N34:O34"/>
    <mergeCell ref="AB32:AE32"/>
    <mergeCell ref="H33:I33"/>
    <mergeCell ref="J33:K33"/>
    <mergeCell ref="L33:M33"/>
    <mergeCell ref="N33:O33"/>
    <mergeCell ref="P33:Q33"/>
    <mergeCell ref="R33:S33"/>
    <mergeCell ref="T33:U33"/>
    <mergeCell ref="P32:Q32"/>
    <mergeCell ref="R32:S32"/>
    <mergeCell ref="T32:U32"/>
    <mergeCell ref="V32:W32"/>
    <mergeCell ref="X32:Y32"/>
    <mergeCell ref="Z32:AA32"/>
    <mergeCell ref="V31:W31"/>
    <mergeCell ref="X31:Y31"/>
    <mergeCell ref="Z31:AA31"/>
    <mergeCell ref="AB31:AE31"/>
    <mergeCell ref="H32:I32"/>
    <mergeCell ref="J32:K32"/>
    <mergeCell ref="L32:M32"/>
    <mergeCell ref="N32:O32"/>
    <mergeCell ref="AB30:AE30"/>
    <mergeCell ref="H31:I31"/>
    <mergeCell ref="J31:K31"/>
    <mergeCell ref="L31:M31"/>
    <mergeCell ref="N31:O31"/>
    <mergeCell ref="P31:Q31"/>
    <mergeCell ref="R31:S31"/>
    <mergeCell ref="T31:U31"/>
    <mergeCell ref="P30:Q30"/>
    <mergeCell ref="R30:S30"/>
    <mergeCell ref="T30:U30"/>
    <mergeCell ref="V30:W30"/>
    <mergeCell ref="X30:Y30"/>
    <mergeCell ref="Z30:AA30"/>
    <mergeCell ref="V29:W29"/>
    <mergeCell ref="X29:Y29"/>
    <mergeCell ref="Z29:AA29"/>
    <mergeCell ref="AB29:AE29"/>
    <mergeCell ref="H30:I30"/>
    <mergeCell ref="J30:K30"/>
    <mergeCell ref="L30:M30"/>
    <mergeCell ref="N30:O30"/>
    <mergeCell ref="AB28:AE28"/>
    <mergeCell ref="H29:I29"/>
    <mergeCell ref="J29:K29"/>
    <mergeCell ref="L29:M29"/>
    <mergeCell ref="N29:O29"/>
    <mergeCell ref="P29:Q29"/>
    <mergeCell ref="R29:S29"/>
    <mergeCell ref="T29:U29"/>
    <mergeCell ref="P28:Q28"/>
    <mergeCell ref="R28:S28"/>
    <mergeCell ref="T28:U28"/>
    <mergeCell ref="V28:W28"/>
    <mergeCell ref="X28:Y28"/>
    <mergeCell ref="Z28:AA28"/>
    <mergeCell ref="V27:W27"/>
    <mergeCell ref="X27:Y27"/>
    <mergeCell ref="Z27:AA27"/>
    <mergeCell ref="AB27:AE27"/>
    <mergeCell ref="H28:I28"/>
    <mergeCell ref="J28:K28"/>
    <mergeCell ref="L28:M28"/>
    <mergeCell ref="N28:O28"/>
    <mergeCell ref="AB26:AE26"/>
    <mergeCell ref="H27:I27"/>
    <mergeCell ref="J27:K27"/>
    <mergeCell ref="L27:M27"/>
    <mergeCell ref="N27:O27"/>
    <mergeCell ref="P27:Q27"/>
    <mergeCell ref="R27:S27"/>
    <mergeCell ref="T27:U27"/>
    <mergeCell ref="P26:Q26"/>
    <mergeCell ref="R26:S26"/>
    <mergeCell ref="T26:U26"/>
    <mergeCell ref="V26:W26"/>
    <mergeCell ref="X26:Y26"/>
    <mergeCell ref="Z26:AA26"/>
    <mergeCell ref="V25:W25"/>
    <mergeCell ref="X25:Y25"/>
    <mergeCell ref="Z25:AA25"/>
    <mergeCell ref="AB25:AE25"/>
    <mergeCell ref="H26:I26"/>
    <mergeCell ref="J26:K26"/>
    <mergeCell ref="L26:M26"/>
    <mergeCell ref="N26:O26"/>
    <mergeCell ref="AB24:AE24"/>
    <mergeCell ref="H25:I25"/>
    <mergeCell ref="J25:K25"/>
    <mergeCell ref="L25:M25"/>
    <mergeCell ref="N25:O25"/>
    <mergeCell ref="P25:Q25"/>
    <mergeCell ref="R25:S25"/>
    <mergeCell ref="T25:U25"/>
    <mergeCell ref="P24:Q24"/>
    <mergeCell ref="R24:S24"/>
    <mergeCell ref="T24:U24"/>
    <mergeCell ref="V24:W24"/>
    <mergeCell ref="X24:Y24"/>
    <mergeCell ref="Z24:AA24"/>
    <mergeCell ref="V23:W23"/>
    <mergeCell ref="X23:Y23"/>
    <mergeCell ref="Z23:AA23"/>
    <mergeCell ref="AB23:AE23"/>
    <mergeCell ref="H24:I24"/>
    <mergeCell ref="J24:K24"/>
    <mergeCell ref="L24:M24"/>
    <mergeCell ref="N24:O24"/>
    <mergeCell ref="AB22:AE22"/>
    <mergeCell ref="H23:I23"/>
    <mergeCell ref="J23:K23"/>
    <mergeCell ref="L23:M23"/>
    <mergeCell ref="N23:O23"/>
    <mergeCell ref="P23:Q23"/>
    <mergeCell ref="R23:S23"/>
    <mergeCell ref="T23:U23"/>
    <mergeCell ref="P22:Q22"/>
    <mergeCell ref="R22:S22"/>
    <mergeCell ref="T22:U22"/>
    <mergeCell ref="V22:W22"/>
    <mergeCell ref="X22:Y22"/>
    <mergeCell ref="Z22:AA22"/>
    <mergeCell ref="V21:W21"/>
    <mergeCell ref="X21:Y21"/>
    <mergeCell ref="Z21:AA21"/>
    <mergeCell ref="AB21:AE21"/>
    <mergeCell ref="H22:I22"/>
    <mergeCell ref="J22:K22"/>
    <mergeCell ref="L22:M22"/>
    <mergeCell ref="N22:O22"/>
    <mergeCell ref="AB20:AE20"/>
    <mergeCell ref="H21:I21"/>
    <mergeCell ref="J21:K21"/>
    <mergeCell ref="L21:M21"/>
    <mergeCell ref="N21:O21"/>
    <mergeCell ref="P21:Q21"/>
    <mergeCell ref="R21:S21"/>
    <mergeCell ref="T21:U21"/>
    <mergeCell ref="P20:Q20"/>
    <mergeCell ref="R20:S20"/>
    <mergeCell ref="T20:U20"/>
    <mergeCell ref="V20:W20"/>
    <mergeCell ref="X20:Y20"/>
    <mergeCell ref="Z20:AA20"/>
    <mergeCell ref="V19:W19"/>
    <mergeCell ref="X19:Y19"/>
    <mergeCell ref="Z19:AA19"/>
    <mergeCell ref="AB19:AE19"/>
    <mergeCell ref="H20:I20"/>
    <mergeCell ref="J20:K20"/>
    <mergeCell ref="L20:M20"/>
    <mergeCell ref="N20:O20"/>
    <mergeCell ref="AB18:AE18"/>
    <mergeCell ref="H19:I19"/>
    <mergeCell ref="J19:K19"/>
    <mergeCell ref="L19:M19"/>
    <mergeCell ref="N19:O19"/>
    <mergeCell ref="P19:Q19"/>
    <mergeCell ref="R19:S19"/>
    <mergeCell ref="T19:U19"/>
    <mergeCell ref="P18:Q18"/>
    <mergeCell ref="R18:S18"/>
    <mergeCell ref="T18:U18"/>
    <mergeCell ref="V18:W18"/>
    <mergeCell ref="X18:Y18"/>
    <mergeCell ref="Z18:AA18"/>
    <mergeCell ref="V17:W17"/>
    <mergeCell ref="X17:Y17"/>
    <mergeCell ref="Z17:AA17"/>
    <mergeCell ref="AB17:AE17"/>
    <mergeCell ref="H18:I18"/>
    <mergeCell ref="J18:K18"/>
    <mergeCell ref="L18:M18"/>
    <mergeCell ref="N18:O18"/>
    <mergeCell ref="AB16:AE16"/>
    <mergeCell ref="H17:I17"/>
    <mergeCell ref="J17:K17"/>
    <mergeCell ref="L17:M17"/>
    <mergeCell ref="N17:O17"/>
    <mergeCell ref="P17:Q17"/>
    <mergeCell ref="R17:S17"/>
    <mergeCell ref="T17:U17"/>
    <mergeCell ref="P16:Q16"/>
    <mergeCell ref="R16:S16"/>
    <mergeCell ref="T16:U16"/>
    <mergeCell ref="V16:W16"/>
    <mergeCell ref="X16:Y16"/>
    <mergeCell ref="Z16:AA16"/>
    <mergeCell ref="V15:W15"/>
    <mergeCell ref="X15:Y15"/>
    <mergeCell ref="Z15:AA15"/>
    <mergeCell ref="AB15:AE15"/>
    <mergeCell ref="H16:I16"/>
    <mergeCell ref="J16:K16"/>
    <mergeCell ref="L16:M16"/>
    <mergeCell ref="N16:O16"/>
    <mergeCell ref="AB14:AE14"/>
    <mergeCell ref="H15:I15"/>
    <mergeCell ref="J15:K15"/>
    <mergeCell ref="L15:M15"/>
    <mergeCell ref="N15:O15"/>
    <mergeCell ref="P15:Q15"/>
    <mergeCell ref="R15:S15"/>
    <mergeCell ref="T15:U15"/>
    <mergeCell ref="P14:Q14"/>
    <mergeCell ref="R14:S14"/>
    <mergeCell ref="T14:U14"/>
    <mergeCell ref="V14:W14"/>
    <mergeCell ref="X14:Y14"/>
    <mergeCell ref="Z14:AA14"/>
    <mergeCell ref="H14:I14"/>
    <mergeCell ref="J14:K14"/>
    <mergeCell ref="L14:M14"/>
    <mergeCell ref="N14:O14"/>
    <mergeCell ref="AB12:AE12"/>
    <mergeCell ref="H13:I13"/>
    <mergeCell ref="J13:K13"/>
    <mergeCell ref="L13:M13"/>
    <mergeCell ref="N13:O13"/>
    <mergeCell ref="P13:Q13"/>
    <mergeCell ref="R13:S13"/>
    <mergeCell ref="T13:U13"/>
    <mergeCell ref="P12:Q12"/>
    <mergeCell ref="R12:S12"/>
    <mergeCell ref="T12:U12"/>
    <mergeCell ref="V12:W12"/>
    <mergeCell ref="X12:Y12"/>
    <mergeCell ref="Z12:AA12"/>
    <mergeCell ref="H12:I12"/>
    <mergeCell ref="J12:K12"/>
    <mergeCell ref="L12:M12"/>
    <mergeCell ref="N12:O12"/>
    <mergeCell ref="V13:W13"/>
    <mergeCell ref="X13:Y13"/>
    <mergeCell ref="Z13:AA13"/>
    <mergeCell ref="AB13:AE13"/>
    <mergeCell ref="AB9:AE11"/>
    <mergeCell ref="H11:I11"/>
    <mergeCell ref="J11:K11"/>
    <mergeCell ref="L11:M11"/>
    <mergeCell ref="N11:O11"/>
    <mergeCell ref="P11:Q11"/>
    <mergeCell ref="R11:S11"/>
    <mergeCell ref="A9:C10"/>
    <mergeCell ref="H9:K10"/>
    <mergeCell ref="L9:O10"/>
    <mergeCell ref="P9:S10"/>
    <mergeCell ref="T9:W10"/>
    <mergeCell ref="T11:U11"/>
    <mergeCell ref="V11:W11"/>
    <mergeCell ref="X11:Y11"/>
    <mergeCell ref="Z11:AA11"/>
    <mergeCell ref="D9:G11"/>
    <mergeCell ref="A11:C11"/>
    <mergeCell ref="X9:AA10"/>
    <mergeCell ref="A5:H5"/>
    <mergeCell ref="I5:AE5"/>
    <mergeCell ref="A7:H7"/>
    <mergeCell ref="I7:S7"/>
    <mergeCell ref="U7:W7"/>
    <mergeCell ref="X7:AE7"/>
    <mergeCell ref="A1:E3"/>
    <mergeCell ref="F1:Z3"/>
    <mergeCell ref="AA1:AB1"/>
    <mergeCell ref="AC1:AE1"/>
    <mergeCell ref="AA2:AB2"/>
    <mergeCell ref="AC2:AE2"/>
    <mergeCell ref="AA3:AB3"/>
    <mergeCell ref="AC3:AE3"/>
  </mergeCells>
  <dataValidations count="1">
    <dataValidation type="list" allowBlank="1" showInputMessage="1" showErrorMessage="1" sqref="T7" xr:uid="{3E45A082-F9B1-4F61-A8DF-5860A506FC46}">
      <formula1>$AN$1:$AN$4</formula1>
    </dataValidation>
  </dataValidations>
  <printOptions horizontalCentered="1"/>
  <pageMargins left="0.19685039370078741" right="0.19685039370078741" top="0.19685039370078741" bottom="0.59055118110236227" header="0.31496062992125984" footer="0.39370078740157483"/>
  <pageSetup scale="98" orientation="landscape" r:id="rId1"/>
  <headerFooter>
    <oddFooter>&amp;R&amp;"Arial Narrow,Normal"&amp;9Página: &amp;P de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C1740-61C3-4DC1-8CBB-3C7A46E6DFF1}">
  <sheetPr codeName="Hoja7">
    <picture r:id="rId3"/>
  </sheetPr>
  <dimension ref="A1:BG46"/>
  <sheetViews>
    <sheetView view="pageBreakPreview" topLeftCell="A3" zoomScaleNormal="100" zoomScaleSheetLayoutView="100" workbookViewId="0">
      <selection activeCell="A12" sqref="A12:C12"/>
    </sheetView>
  </sheetViews>
  <sheetFormatPr baseColWidth="10" defaultColWidth="11.42578125" defaultRowHeight="15.75" x14ac:dyDescent="0.25"/>
  <cols>
    <col min="1" max="1" width="3.5703125" style="1" customWidth="1" collapsed="1"/>
    <col min="2" max="3" width="3.7109375" style="1" customWidth="1" collapsed="1"/>
    <col min="4" max="4" width="4.85546875" style="1" customWidth="1" collapsed="1"/>
    <col min="5" max="5" width="4.42578125" style="1" customWidth="1" collapsed="1"/>
    <col min="6" max="6" width="5" style="1" customWidth="1" collapsed="1"/>
    <col min="7" max="7" width="4" style="1" customWidth="1" collapsed="1"/>
    <col min="8" max="8" width="5.42578125" style="1" customWidth="1" collapsed="1"/>
    <col min="9" max="9" width="5.85546875" style="1" customWidth="1" collapsed="1"/>
    <col min="10" max="10" width="5.7109375" style="1" customWidth="1" collapsed="1"/>
    <col min="11" max="11" width="5" style="1" customWidth="1" collapsed="1"/>
    <col min="12" max="13" width="4.7109375" style="1" customWidth="1" collapsed="1"/>
    <col min="14" max="15" width="5" style="1" customWidth="1" collapsed="1"/>
    <col min="16" max="16" width="5.28515625" style="1" customWidth="1" collapsed="1"/>
    <col min="17" max="17" width="3.85546875" style="1" customWidth="1" collapsed="1"/>
    <col min="18" max="18" width="5.28515625" style="1" customWidth="1" collapsed="1"/>
    <col min="19" max="19" width="4" style="1" customWidth="1" collapsed="1"/>
    <col min="20" max="20" width="4.140625" style="1" customWidth="1" collapsed="1"/>
    <col min="21" max="21" width="4.28515625" style="1" customWidth="1" collapsed="1"/>
    <col min="22" max="22" width="5" style="1" customWidth="1" collapsed="1"/>
    <col min="23" max="23" width="3.7109375" style="1" customWidth="1" collapsed="1"/>
    <col min="24" max="27" width="4.28515625" style="1" customWidth="1" collapsed="1"/>
    <col min="28" max="33" width="4.28515625" style="1" customWidth="1"/>
    <col min="34" max="35" width="11.42578125" style="1" collapsed="1"/>
    <col min="36" max="36" width="24.7109375" style="1" bestFit="1" customWidth="1" collapsed="1"/>
    <col min="37" max="55" width="11.42578125" style="1" collapsed="1"/>
    <col min="56" max="59" width="11.42578125" style="1"/>
    <col min="60" max="16384" width="11.42578125" style="1" collapsed="1"/>
  </cols>
  <sheetData>
    <row r="1" spans="1:55" ht="18" customHeight="1" x14ac:dyDescent="0.25">
      <c r="A1" s="186"/>
      <c r="B1" s="187"/>
      <c r="C1" s="187"/>
      <c r="D1" s="188"/>
      <c r="E1" s="195" t="s">
        <v>33</v>
      </c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7"/>
      <c r="W1" s="50" t="s">
        <v>3</v>
      </c>
      <c r="X1" s="50"/>
      <c r="Y1" s="50" t="s">
        <v>258</v>
      </c>
      <c r="Z1" s="50"/>
      <c r="AA1" s="50"/>
      <c r="AB1" s="31"/>
      <c r="AC1" s="31"/>
      <c r="AD1" s="31"/>
      <c r="AE1" s="31"/>
      <c r="AF1" s="31"/>
      <c r="AG1" s="31"/>
      <c r="AJ1" s="11"/>
    </row>
    <row r="2" spans="1:55" ht="18" customHeight="1" x14ac:dyDescent="0.25">
      <c r="A2" s="189"/>
      <c r="B2" s="190"/>
      <c r="C2" s="190"/>
      <c r="D2" s="191"/>
      <c r="E2" s="198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200"/>
      <c r="W2" s="50" t="s">
        <v>1</v>
      </c>
      <c r="X2" s="50"/>
      <c r="Y2" s="207">
        <v>5</v>
      </c>
      <c r="Z2" s="207"/>
      <c r="AA2" s="207"/>
      <c r="AB2" s="31"/>
      <c r="AC2" s="31"/>
      <c r="AD2" s="31"/>
      <c r="AE2" s="31"/>
      <c r="AF2" s="31"/>
      <c r="AG2" s="31"/>
      <c r="AJ2" s="11"/>
    </row>
    <row r="3" spans="1:55" ht="18" customHeight="1" x14ac:dyDescent="0.25">
      <c r="A3" s="192"/>
      <c r="B3" s="193"/>
      <c r="C3" s="193"/>
      <c r="D3" s="194"/>
      <c r="E3" s="201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3"/>
      <c r="W3" s="50" t="s">
        <v>2</v>
      </c>
      <c r="X3" s="50"/>
      <c r="Y3" s="208">
        <v>45434</v>
      </c>
      <c r="Z3" s="208"/>
      <c r="AA3" s="208"/>
      <c r="AB3" s="31"/>
      <c r="AC3" s="31"/>
      <c r="AD3" s="31"/>
      <c r="AE3" s="31"/>
      <c r="AF3" s="31"/>
      <c r="AG3" s="31"/>
      <c r="AJ3" s="11"/>
    </row>
    <row r="4" spans="1:55" s="2" customFormat="1" ht="5.0999999999999996" customHeight="1" x14ac:dyDescent="0.25">
      <c r="AJ4" s="8"/>
    </row>
    <row r="5" spans="1:55" s="2" customFormat="1" ht="18" customHeight="1" x14ac:dyDescent="0.25">
      <c r="A5" s="125" t="s">
        <v>227</v>
      </c>
      <c r="B5" s="125"/>
      <c r="C5" s="125"/>
      <c r="D5" s="125"/>
      <c r="E5" s="125"/>
      <c r="F5" s="125"/>
      <c r="G5" s="125"/>
      <c r="H5" s="184">
        <f>+Registro!$K$5</f>
        <v>0</v>
      </c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7"/>
      <c r="AB5" s="36"/>
      <c r="AC5" s="36"/>
      <c r="AD5" s="36"/>
      <c r="AE5" s="36"/>
      <c r="AF5" s="36"/>
      <c r="AG5" s="36"/>
      <c r="AJ5" s="8"/>
    </row>
    <row r="6" spans="1:55" s="2" customFormat="1" ht="5.0999999999999996" customHeight="1" x14ac:dyDescent="0.25">
      <c r="AJ6" s="8"/>
    </row>
    <row r="7" spans="1:55" s="2" customFormat="1" ht="18" customHeight="1" x14ac:dyDescent="0.25">
      <c r="A7" s="125" t="s">
        <v>28</v>
      </c>
      <c r="B7" s="125"/>
      <c r="C7" s="125"/>
      <c r="D7" s="125"/>
      <c r="E7" s="125"/>
      <c r="F7" s="125"/>
      <c r="G7" s="125"/>
      <c r="H7" s="94" t="s">
        <v>251</v>
      </c>
      <c r="I7" s="95"/>
      <c r="J7" s="95"/>
      <c r="K7" s="95"/>
      <c r="L7" s="95"/>
      <c r="M7" s="95"/>
      <c r="N7" s="95"/>
      <c r="O7" s="96"/>
      <c r="P7" s="16"/>
      <c r="Q7" s="131" t="s">
        <v>38</v>
      </c>
      <c r="R7" s="131"/>
      <c r="S7" s="131"/>
      <c r="T7" s="132" t="s">
        <v>246</v>
      </c>
      <c r="U7" s="132"/>
      <c r="V7" s="132"/>
      <c r="W7" s="132"/>
      <c r="X7" s="132"/>
      <c r="Y7" s="132"/>
      <c r="Z7" s="132"/>
      <c r="AA7" s="132"/>
      <c r="AB7" s="9"/>
      <c r="AC7" s="9"/>
      <c r="AD7" s="9"/>
      <c r="AE7" s="9"/>
      <c r="AF7" s="9"/>
      <c r="AG7" s="9"/>
      <c r="AJ7" s="8"/>
    </row>
    <row r="8" spans="1:55" s="2" customFormat="1" ht="5.0999999999999996" customHeight="1" x14ac:dyDescent="0.25">
      <c r="AJ8" s="8"/>
    </row>
    <row r="9" spans="1:55" s="2" customFormat="1" ht="26.25" customHeight="1" x14ac:dyDescent="0.25">
      <c r="A9" s="116" t="s">
        <v>42</v>
      </c>
      <c r="B9" s="117"/>
      <c r="C9" s="118"/>
      <c r="D9" s="133" t="s">
        <v>240</v>
      </c>
      <c r="E9" s="133"/>
      <c r="F9" s="133"/>
      <c r="G9" s="133"/>
      <c r="H9" s="133" t="s">
        <v>252</v>
      </c>
      <c r="I9" s="133"/>
      <c r="J9" s="133"/>
      <c r="K9" s="133"/>
      <c r="L9" s="116" t="s">
        <v>253</v>
      </c>
      <c r="M9" s="117"/>
      <c r="N9" s="117"/>
      <c r="O9" s="118"/>
      <c r="P9" s="116" t="s">
        <v>254</v>
      </c>
      <c r="Q9" s="117"/>
      <c r="R9" s="117"/>
      <c r="S9" s="118"/>
      <c r="T9" s="183" t="s">
        <v>40</v>
      </c>
      <c r="U9" s="183"/>
      <c r="V9" s="183"/>
      <c r="W9" s="183"/>
      <c r="X9" s="116" t="s">
        <v>0</v>
      </c>
      <c r="Y9" s="117"/>
      <c r="Z9" s="117"/>
      <c r="AA9" s="118"/>
      <c r="AB9" s="34"/>
      <c r="AC9" s="34"/>
      <c r="AD9" s="34"/>
      <c r="AE9" s="34"/>
      <c r="AF9" s="34"/>
      <c r="AG9" s="34"/>
    </row>
    <row r="10" spans="1:55" s="2" customFormat="1" ht="33.75" customHeight="1" x14ac:dyDescent="0.25">
      <c r="A10" s="119"/>
      <c r="B10" s="120"/>
      <c r="C10" s="121"/>
      <c r="D10" s="133"/>
      <c r="E10" s="133"/>
      <c r="F10" s="133"/>
      <c r="G10" s="133"/>
      <c r="H10" s="133"/>
      <c r="I10" s="133"/>
      <c r="J10" s="133"/>
      <c r="K10" s="133"/>
      <c r="L10" s="122"/>
      <c r="M10" s="123"/>
      <c r="N10" s="123"/>
      <c r="O10" s="124"/>
      <c r="P10" s="122"/>
      <c r="Q10" s="123"/>
      <c r="R10" s="123"/>
      <c r="S10" s="124"/>
      <c r="T10" s="183"/>
      <c r="U10" s="183"/>
      <c r="V10" s="183"/>
      <c r="W10" s="183"/>
      <c r="X10" s="119"/>
      <c r="Y10" s="120"/>
      <c r="Z10" s="120"/>
      <c r="AA10" s="121"/>
      <c r="AB10" s="34"/>
      <c r="AC10" s="34"/>
      <c r="AD10" s="34"/>
      <c r="AE10" s="34"/>
      <c r="AF10" s="34"/>
      <c r="AG10" s="34"/>
    </row>
    <row r="11" spans="1:55" s="2" customFormat="1" ht="18" customHeight="1" x14ac:dyDescent="0.25">
      <c r="A11" s="82" t="s">
        <v>236</v>
      </c>
      <c r="B11" s="83"/>
      <c r="C11" s="84"/>
      <c r="D11" s="77" t="s">
        <v>5</v>
      </c>
      <c r="E11" s="77"/>
      <c r="F11" s="77" t="s">
        <v>6</v>
      </c>
      <c r="G11" s="77"/>
      <c r="H11" s="77" t="s">
        <v>5</v>
      </c>
      <c r="I11" s="77"/>
      <c r="J11" s="77" t="s">
        <v>6</v>
      </c>
      <c r="K11" s="77"/>
      <c r="L11" s="77" t="s">
        <v>5</v>
      </c>
      <c r="M11" s="77"/>
      <c r="N11" s="77" t="s">
        <v>6</v>
      </c>
      <c r="O11" s="77"/>
      <c r="P11" s="77" t="s">
        <v>5</v>
      </c>
      <c r="Q11" s="77"/>
      <c r="R11" s="77" t="s">
        <v>6</v>
      </c>
      <c r="S11" s="77"/>
      <c r="T11" s="77" t="s">
        <v>5</v>
      </c>
      <c r="U11" s="77"/>
      <c r="V11" s="77" t="s">
        <v>6</v>
      </c>
      <c r="W11" s="77"/>
      <c r="X11" s="122"/>
      <c r="Y11" s="123"/>
      <c r="Z11" s="123"/>
      <c r="AA11" s="124"/>
      <c r="AB11" s="34"/>
      <c r="AC11" s="34"/>
      <c r="AD11" s="34"/>
      <c r="AE11" s="34"/>
      <c r="AF11" s="34"/>
      <c r="AG11" s="34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1:55" s="2" customFormat="1" ht="30" customHeight="1" x14ac:dyDescent="0.25">
      <c r="A12" s="204"/>
      <c r="B12" s="205"/>
      <c r="C12" s="206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89"/>
      <c r="Y12" s="115"/>
      <c r="Z12" s="115"/>
      <c r="AA12" s="90"/>
      <c r="AB12" s="35"/>
      <c r="AC12" s="35"/>
      <c r="AD12" s="35"/>
      <c r="AE12" s="35"/>
      <c r="AF12" s="35"/>
      <c r="AG12" s="35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1:55" s="2" customFormat="1" ht="30" customHeight="1" x14ac:dyDescent="0.25">
      <c r="A13" s="204"/>
      <c r="B13" s="205"/>
      <c r="C13" s="206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89"/>
      <c r="Y13" s="115"/>
      <c r="Z13" s="115"/>
      <c r="AA13" s="90"/>
      <c r="AB13" s="35"/>
      <c r="AC13" s="35"/>
      <c r="AD13" s="35"/>
      <c r="AE13" s="35"/>
      <c r="AF13" s="35"/>
      <c r="AG13" s="35"/>
    </row>
    <row r="14" spans="1:55" s="2" customFormat="1" ht="30" customHeight="1" x14ac:dyDescent="0.25">
      <c r="A14" s="204"/>
      <c r="B14" s="205"/>
      <c r="C14" s="206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89"/>
      <c r="Y14" s="115"/>
      <c r="Z14" s="115"/>
      <c r="AA14" s="90"/>
      <c r="AB14" s="35"/>
      <c r="AC14" s="35"/>
      <c r="AD14" s="35"/>
      <c r="AE14" s="35"/>
      <c r="AF14" s="35"/>
      <c r="AG14" s="35"/>
    </row>
    <row r="15" spans="1:55" s="2" customFormat="1" ht="30" customHeight="1" x14ac:dyDescent="0.25">
      <c r="A15" s="204"/>
      <c r="B15" s="205"/>
      <c r="C15" s="206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89"/>
      <c r="Y15" s="115"/>
      <c r="Z15" s="115"/>
      <c r="AA15" s="90"/>
      <c r="AB15" s="35"/>
      <c r="AC15" s="35"/>
      <c r="AD15" s="35"/>
      <c r="AE15" s="35"/>
      <c r="AF15" s="35"/>
      <c r="AG15" s="35"/>
    </row>
    <row r="16" spans="1:55" s="2" customFormat="1" ht="30" customHeight="1" x14ac:dyDescent="0.25">
      <c r="A16" s="204"/>
      <c r="B16" s="205"/>
      <c r="C16" s="206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89"/>
      <c r="Y16" s="115"/>
      <c r="Z16" s="115"/>
      <c r="AA16" s="90"/>
      <c r="AB16" s="35"/>
      <c r="AC16" s="35"/>
      <c r="AD16" s="35"/>
      <c r="AE16" s="35"/>
      <c r="AF16" s="35"/>
      <c r="AG16" s="35"/>
    </row>
    <row r="17" spans="1:33" s="2" customFormat="1" ht="30" customHeight="1" x14ac:dyDescent="0.25">
      <c r="A17" s="204"/>
      <c r="B17" s="205"/>
      <c r="C17" s="206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89"/>
      <c r="Y17" s="115"/>
      <c r="Z17" s="115"/>
      <c r="AA17" s="90"/>
      <c r="AB17" s="35"/>
      <c r="AC17" s="35"/>
      <c r="AD17" s="35"/>
      <c r="AE17" s="35"/>
      <c r="AF17" s="35"/>
      <c r="AG17" s="35"/>
    </row>
    <row r="18" spans="1:33" s="2" customFormat="1" ht="30" customHeight="1" x14ac:dyDescent="0.25">
      <c r="A18" s="204"/>
      <c r="B18" s="205"/>
      <c r="C18" s="206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89"/>
      <c r="Y18" s="115"/>
      <c r="Z18" s="115"/>
      <c r="AA18" s="90"/>
      <c r="AB18" s="35"/>
      <c r="AC18" s="35"/>
      <c r="AD18" s="35"/>
      <c r="AE18" s="35"/>
      <c r="AF18" s="35"/>
      <c r="AG18" s="35"/>
    </row>
    <row r="19" spans="1:33" s="2" customFormat="1" ht="30" customHeight="1" x14ac:dyDescent="0.25">
      <c r="A19" s="204"/>
      <c r="B19" s="205"/>
      <c r="C19" s="206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89"/>
      <c r="Y19" s="115"/>
      <c r="Z19" s="115"/>
      <c r="AA19" s="90"/>
      <c r="AB19" s="35"/>
      <c r="AC19" s="35"/>
      <c r="AD19" s="35"/>
      <c r="AE19" s="35"/>
      <c r="AF19" s="35"/>
      <c r="AG19" s="35"/>
    </row>
    <row r="20" spans="1:33" s="2" customFormat="1" ht="30" customHeight="1" x14ac:dyDescent="0.25">
      <c r="A20" s="204"/>
      <c r="B20" s="205"/>
      <c r="C20" s="206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89"/>
      <c r="Y20" s="115"/>
      <c r="Z20" s="115"/>
      <c r="AA20" s="90"/>
      <c r="AB20" s="35"/>
      <c r="AC20" s="35"/>
      <c r="AD20" s="35"/>
      <c r="AE20" s="35"/>
      <c r="AF20" s="35"/>
      <c r="AG20" s="35"/>
    </row>
    <row r="21" spans="1:33" s="2" customFormat="1" ht="30" customHeight="1" x14ac:dyDescent="0.25">
      <c r="A21" s="204"/>
      <c r="B21" s="205"/>
      <c r="C21" s="206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89"/>
      <c r="Y21" s="115"/>
      <c r="Z21" s="115"/>
      <c r="AA21" s="90"/>
      <c r="AB21" s="35"/>
      <c r="AC21" s="35"/>
      <c r="AD21" s="35"/>
      <c r="AE21" s="35"/>
      <c r="AF21" s="35"/>
      <c r="AG21" s="35"/>
    </row>
    <row r="22" spans="1:33" s="2" customFormat="1" ht="30" customHeight="1" x14ac:dyDescent="0.25">
      <c r="A22" s="204"/>
      <c r="B22" s="205"/>
      <c r="C22" s="206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89"/>
      <c r="Y22" s="115"/>
      <c r="Z22" s="115"/>
      <c r="AA22" s="90"/>
      <c r="AB22" s="35"/>
      <c r="AC22" s="35"/>
      <c r="AD22" s="35"/>
      <c r="AE22" s="35"/>
      <c r="AF22" s="35"/>
      <c r="AG22" s="35"/>
    </row>
    <row r="23" spans="1:33" s="2" customFormat="1" ht="30" customHeight="1" x14ac:dyDescent="0.25">
      <c r="A23" s="204"/>
      <c r="B23" s="205"/>
      <c r="C23" s="206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89"/>
      <c r="Y23" s="115"/>
      <c r="Z23" s="115"/>
      <c r="AA23" s="90"/>
      <c r="AB23" s="35"/>
      <c r="AC23" s="35"/>
      <c r="AD23" s="35"/>
      <c r="AE23" s="35"/>
      <c r="AF23" s="35"/>
      <c r="AG23" s="35"/>
    </row>
    <row r="24" spans="1:33" s="2" customFormat="1" ht="30" customHeight="1" x14ac:dyDescent="0.25">
      <c r="A24" s="204"/>
      <c r="B24" s="205"/>
      <c r="C24" s="206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89"/>
      <c r="Y24" s="115"/>
      <c r="Z24" s="115"/>
      <c r="AA24" s="90"/>
      <c r="AB24" s="35"/>
      <c r="AC24" s="35"/>
      <c r="AD24" s="35"/>
      <c r="AE24" s="35"/>
      <c r="AF24" s="35"/>
      <c r="AG24" s="35"/>
    </row>
    <row r="25" spans="1:33" s="2" customFormat="1" ht="30" customHeight="1" x14ac:dyDescent="0.25">
      <c r="A25" s="204"/>
      <c r="B25" s="205"/>
      <c r="C25" s="206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89"/>
      <c r="Y25" s="115"/>
      <c r="Z25" s="115"/>
      <c r="AA25" s="90"/>
      <c r="AB25" s="35"/>
      <c r="AC25" s="35"/>
      <c r="AD25" s="35"/>
      <c r="AE25" s="35"/>
      <c r="AF25" s="35"/>
      <c r="AG25" s="35"/>
    </row>
    <row r="26" spans="1:33" s="2" customFormat="1" ht="30" customHeight="1" x14ac:dyDescent="0.25">
      <c r="A26" s="204"/>
      <c r="B26" s="205"/>
      <c r="C26" s="206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89"/>
      <c r="Y26" s="115"/>
      <c r="Z26" s="115"/>
      <c r="AA26" s="90"/>
      <c r="AB26" s="35"/>
      <c r="AC26" s="35"/>
      <c r="AD26" s="35"/>
      <c r="AE26" s="35"/>
      <c r="AF26" s="35"/>
      <c r="AG26" s="35"/>
    </row>
    <row r="27" spans="1:33" s="2" customFormat="1" ht="30" customHeight="1" x14ac:dyDescent="0.25">
      <c r="A27" s="204"/>
      <c r="B27" s="205"/>
      <c r="C27" s="206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89"/>
      <c r="Y27" s="115"/>
      <c r="Z27" s="115"/>
      <c r="AA27" s="90"/>
      <c r="AB27" s="35"/>
      <c r="AC27" s="35"/>
      <c r="AD27" s="35"/>
      <c r="AE27" s="35"/>
      <c r="AF27" s="35"/>
      <c r="AG27" s="35"/>
    </row>
    <row r="28" spans="1:33" s="2" customFormat="1" ht="30" customHeight="1" x14ac:dyDescent="0.25">
      <c r="A28" s="204"/>
      <c r="B28" s="205"/>
      <c r="C28" s="206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89"/>
      <c r="Y28" s="115"/>
      <c r="Z28" s="115"/>
      <c r="AA28" s="90"/>
      <c r="AB28" s="35"/>
      <c r="AC28" s="35"/>
      <c r="AD28" s="35"/>
      <c r="AE28" s="35"/>
      <c r="AF28" s="35"/>
      <c r="AG28" s="35"/>
    </row>
    <row r="29" spans="1:33" s="2" customFormat="1" ht="30" customHeight="1" x14ac:dyDescent="0.25">
      <c r="A29" s="204"/>
      <c r="B29" s="205"/>
      <c r="C29" s="206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89"/>
      <c r="Y29" s="115"/>
      <c r="Z29" s="115"/>
      <c r="AA29" s="90"/>
      <c r="AB29" s="35"/>
      <c r="AC29" s="35"/>
      <c r="AD29" s="35"/>
      <c r="AE29" s="35"/>
      <c r="AF29" s="35"/>
      <c r="AG29" s="35"/>
    </row>
    <row r="30" spans="1:33" s="2" customFormat="1" ht="30" customHeight="1" x14ac:dyDescent="0.25">
      <c r="A30" s="204"/>
      <c r="B30" s="205"/>
      <c r="C30" s="206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89"/>
      <c r="Y30" s="115"/>
      <c r="Z30" s="115"/>
      <c r="AA30" s="90"/>
      <c r="AB30" s="35"/>
      <c r="AC30" s="35"/>
      <c r="AD30" s="35"/>
      <c r="AE30" s="35"/>
      <c r="AF30" s="35"/>
      <c r="AG30" s="35"/>
    </row>
    <row r="31" spans="1:33" s="2" customFormat="1" ht="30" customHeight="1" x14ac:dyDescent="0.25">
      <c r="A31" s="204"/>
      <c r="B31" s="205"/>
      <c r="C31" s="206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89"/>
      <c r="Y31" s="115"/>
      <c r="Z31" s="115"/>
      <c r="AA31" s="90"/>
      <c r="AB31" s="35"/>
      <c r="AC31" s="35"/>
      <c r="AD31" s="35"/>
      <c r="AE31" s="35"/>
      <c r="AF31" s="35"/>
      <c r="AG31" s="35"/>
    </row>
    <row r="32" spans="1:33" s="2" customFormat="1" ht="30" customHeight="1" x14ac:dyDescent="0.25">
      <c r="A32" s="204"/>
      <c r="B32" s="205"/>
      <c r="C32" s="206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89"/>
      <c r="Y32" s="115"/>
      <c r="Z32" s="115"/>
      <c r="AA32" s="90"/>
      <c r="AB32" s="35"/>
      <c r="AC32" s="35"/>
      <c r="AD32" s="35"/>
      <c r="AE32" s="35"/>
      <c r="AF32" s="35"/>
      <c r="AG32" s="35"/>
    </row>
    <row r="33" spans="1:35" s="2" customFormat="1" ht="30" customHeight="1" x14ac:dyDescent="0.25">
      <c r="A33" s="204"/>
      <c r="B33" s="205"/>
      <c r="C33" s="206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89"/>
      <c r="Y33" s="115"/>
      <c r="Z33" s="115"/>
      <c r="AA33" s="90"/>
      <c r="AB33" s="35"/>
      <c r="AC33" s="35"/>
      <c r="AD33" s="35"/>
      <c r="AE33" s="35"/>
      <c r="AF33" s="35"/>
      <c r="AG33" s="35"/>
    </row>
    <row r="34" spans="1:35" s="2" customFormat="1" ht="30" customHeight="1" x14ac:dyDescent="0.25">
      <c r="A34" s="204"/>
      <c r="B34" s="205"/>
      <c r="C34" s="206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89"/>
      <c r="Y34" s="115"/>
      <c r="Z34" s="115"/>
      <c r="AA34" s="90"/>
      <c r="AB34" s="35"/>
      <c r="AC34" s="35"/>
      <c r="AD34" s="35"/>
      <c r="AE34" s="35"/>
      <c r="AF34" s="35"/>
      <c r="AG34" s="35"/>
    </row>
    <row r="35" spans="1:35" s="2" customFormat="1" ht="30" customHeight="1" x14ac:dyDescent="0.25">
      <c r="A35" s="204"/>
      <c r="B35" s="205"/>
      <c r="C35" s="206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89"/>
      <c r="Y35" s="115"/>
      <c r="Z35" s="115"/>
      <c r="AA35" s="90"/>
      <c r="AB35" s="35"/>
      <c r="AC35" s="35"/>
      <c r="AD35" s="35"/>
      <c r="AE35" s="35"/>
      <c r="AF35" s="35"/>
      <c r="AG35" s="35"/>
    </row>
    <row r="36" spans="1:35" s="2" customFormat="1" ht="30" customHeight="1" x14ac:dyDescent="0.25">
      <c r="A36" s="204"/>
      <c r="B36" s="205"/>
      <c r="C36" s="206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89"/>
      <c r="Y36" s="115"/>
      <c r="Z36" s="115"/>
      <c r="AA36" s="90"/>
      <c r="AB36" s="35"/>
      <c r="AC36" s="35"/>
      <c r="AD36" s="35"/>
      <c r="AE36" s="35"/>
      <c r="AF36" s="35"/>
      <c r="AG36" s="35"/>
    </row>
    <row r="37" spans="1:35" s="2" customFormat="1" ht="30" customHeight="1" x14ac:dyDescent="0.25">
      <c r="A37" s="204"/>
      <c r="B37" s="205"/>
      <c r="C37" s="206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89"/>
      <c r="Y37" s="115"/>
      <c r="Z37" s="115"/>
      <c r="AA37" s="90"/>
      <c r="AB37" s="35"/>
      <c r="AC37" s="35"/>
      <c r="AD37" s="35"/>
      <c r="AE37" s="35"/>
      <c r="AF37" s="35"/>
      <c r="AG37" s="35"/>
    </row>
    <row r="38" spans="1:35" s="2" customFormat="1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s="2" customFormat="1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s="2" customFormat="1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s="2" customFormat="1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s="2" customFormat="1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s="2" customFormat="1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s="2" customFormat="1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s="2" customFormat="1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</sheetData>
  <sheetProtection algorithmName="SHA-512" hashValue="XrbZEislQ2Yl5sNhSYEOtzlRaujdzeuDxxEIInPOJ43bKQO+jw6rMJ6SkN6EJInTt/Wox450gz/vsB5AZ2cYVg==" saltValue="q5eKqJ9a0V/SNLb1JcEh1w==" spinCount="100000" sheet="1" objects="1" scenarios="1" formatCells="0" formatColumns="0" formatRows="0" insertColumns="0" insertRows="0" deleteRows="0"/>
  <mergeCells count="344">
    <mergeCell ref="A29:C29"/>
    <mergeCell ref="A30:C30"/>
    <mergeCell ref="A31:C31"/>
    <mergeCell ref="A32:C32"/>
    <mergeCell ref="A33:C33"/>
    <mergeCell ref="A34:C34"/>
    <mergeCell ref="A35:C35"/>
    <mergeCell ref="A36:C36"/>
    <mergeCell ref="A37:C37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A9:C10"/>
    <mergeCell ref="D9:G10"/>
    <mergeCell ref="H9:K10"/>
    <mergeCell ref="L9:O10"/>
    <mergeCell ref="P9:S10"/>
    <mergeCell ref="Q7:S7"/>
    <mergeCell ref="T7:AA7"/>
    <mergeCell ref="W1:X1"/>
    <mergeCell ref="Y1:AA1"/>
    <mergeCell ref="W2:X2"/>
    <mergeCell ref="Y2:AA2"/>
    <mergeCell ref="W3:X3"/>
    <mergeCell ref="Y3:AA3"/>
    <mergeCell ref="A1:D3"/>
    <mergeCell ref="E1:V3"/>
    <mergeCell ref="T9:W10"/>
    <mergeCell ref="X9:AA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T11:U11"/>
    <mergeCell ref="V11:W11"/>
    <mergeCell ref="D12:E12"/>
    <mergeCell ref="F12:G12"/>
    <mergeCell ref="H12:I12"/>
    <mergeCell ref="J12:K12"/>
    <mergeCell ref="L12:M12"/>
    <mergeCell ref="N12:O12"/>
    <mergeCell ref="P12:Q12"/>
    <mergeCell ref="N13:O13"/>
    <mergeCell ref="P13:Q13"/>
    <mergeCell ref="R13:S13"/>
    <mergeCell ref="T13:U13"/>
    <mergeCell ref="V13:W13"/>
    <mergeCell ref="X13:AA13"/>
    <mergeCell ref="R12:S12"/>
    <mergeCell ref="T12:U12"/>
    <mergeCell ref="V12:W12"/>
    <mergeCell ref="X12:AA12"/>
    <mergeCell ref="N14:O14"/>
    <mergeCell ref="P14:Q14"/>
    <mergeCell ref="R14:S14"/>
    <mergeCell ref="T14:U14"/>
    <mergeCell ref="V14:W14"/>
    <mergeCell ref="X14:AA14"/>
    <mergeCell ref="D14:E14"/>
    <mergeCell ref="F14:G14"/>
    <mergeCell ref="H14:I14"/>
    <mergeCell ref="J14:K14"/>
    <mergeCell ref="L14:M14"/>
    <mergeCell ref="N15:O15"/>
    <mergeCell ref="P15:Q15"/>
    <mergeCell ref="R15:S15"/>
    <mergeCell ref="T15:U15"/>
    <mergeCell ref="V15:W15"/>
    <mergeCell ref="X15:AA15"/>
    <mergeCell ref="D15:E15"/>
    <mergeCell ref="F15:G15"/>
    <mergeCell ref="H15:I15"/>
    <mergeCell ref="J15:K15"/>
    <mergeCell ref="L15:M15"/>
    <mergeCell ref="N16:O16"/>
    <mergeCell ref="P16:Q16"/>
    <mergeCell ref="R16:S16"/>
    <mergeCell ref="T16:U16"/>
    <mergeCell ref="V16:W16"/>
    <mergeCell ref="X16:AA16"/>
    <mergeCell ref="D16:E16"/>
    <mergeCell ref="F16:G16"/>
    <mergeCell ref="H16:I16"/>
    <mergeCell ref="J16:K16"/>
    <mergeCell ref="L16:M16"/>
    <mergeCell ref="N17:O17"/>
    <mergeCell ref="P17:Q17"/>
    <mergeCell ref="R17:S17"/>
    <mergeCell ref="T17:U17"/>
    <mergeCell ref="V17:W17"/>
    <mergeCell ref="X17:AA17"/>
    <mergeCell ref="D17:E17"/>
    <mergeCell ref="F17:G17"/>
    <mergeCell ref="H17:I17"/>
    <mergeCell ref="J17:K17"/>
    <mergeCell ref="L17:M17"/>
    <mergeCell ref="N18:O18"/>
    <mergeCell ref="P18:Q18"/>
    <mergeCell ref="R18:S18"/>
    <mergeCell ref="T18:U18"/>
    <mergeCell ref="V18:W18"/>
    <mergeCell ref="X18:AA18"/>
    <mergeCell ref="D18:E18"/>
    <mergeCell ref="F18:G18"/>
    <mergeCell ref="H18:I18"/>
    <mergeCell ref="J18:K18"/>
    <mergeCell ref="L18:M18"/>
    <mergeCell ref="N19:O19"/>
    <mergeCell ref="P19:Q19"/>
    <mergeCell ref="R19:S19"/>
    <mergeCell ref="T19:U19"/>
    <mergeCell ref="V19:W19"/>
    <mergeCell ref="X19:AA19"/>
    <mergeCell ref="D19:E19"/>
    <mergeCell ref="F19:G19"/>
    <mergeCell ref="H19:I19"/>
    <mergeCell ref="J19:K19"/>
    <mergeCell ref="L19:M19"/>
    <mergeCell ref="N20:O20"/>
    <mergeCell ref="P20:Q20"/>
    <mergeCell ref="R20:S20"/>
    <mergeCell ref="T20:U20"/>
    <mergeCell ref="V20:W20"/>
    <mergeCell ref="X20:AA20"/>
    <mergeCell ref="D20:E20"/>
    <mergeCell ref="F20:G20"/>
    <mergeCell ref="H20:I20"/>
    <mergeCell ref="J20:K20"/>
    <mergeCell ref="L20:M20"/>
    <mergeCell ref="N21:O21"/>
    <mergeCell ref="P21:Q21"/>
    <mergeCell ref="R21:S21"/>
    <mergeCell ref="T21:U21"/>
    <mergeCell ref="V21:W21"/>
    <mergeCell ref="X21:AA21"/>
    <mergeCell ref="D21:E21"/>
    <mergeCell ref="F21:G21"/>
    <mergeCell ref="H21:I21"/>
    <mergeCell ref="J21:K21"/>
    <mergeCell ref="L21:M21"/>
    <mergeCell ref="N22:O22"/>
    <mergeCell ref="P22:Q22"/>
    <mergeCell ref="R22:S22"/>
    <mergeCell ref="T22:U22"/>
    <mergeCell ref="V22:W22"/>
    <mergeCell ref="X22:AA22"/>
    <mergeCell ref="D22:E22"/>
    <mergeCell ref="F22:G22"/>
    <mergeCell ref="H22:I22"/>
    <mergeCell ref="J22:K22"/>
    <mergeCell ref="L22:M22"/>
    <mergeCell ref="N23:O23"/>
    <mergeCell ref="P23:Q23"/>
    <mergeCell ref="R23:S23"/>
    <mergeCell ref="T23:U23"/>
    <mergeCell ref="V23:W23"/>
    <mergeCell ref="X23:AA23"/>
    <mergeCell ref="D23:E23"/>
    <mergeCell ref="F23:G23"/>
    <mergeCell ref="H23:I23"/>
    <mergeCell ref="J23:K23"/>
    <mergeCell ref="L23:M23"/>
    <mergeCell ref="N24:O24"/>
    <mergeCell ref="P24:Q24"/>
    <mergeCell ref="R24:S24"/>
    <mergeCell ref="T24:U24"/>
    <mergeCell ref="V24:W24"/>
    <mergeCell ref="X24:AA24"/>
    <mergeCell ref="D24:E24"/>
    <mergeCell ref="F24:G24"/>
    <mergeCell ref="H24:I24"/>
    <mergeCell ref="J24:K24"/>
    <mergeCell ref="L24:M24"/>
    <mergeCell ref="N25:O25"/>
    <mergeCell ref="P25:Q25"/>
    <mergeCell ref="R25:S25"/>
    <mergeCell ref="T25:U25"/>
    <mergeCell ref="V25:W25"/>
    <mergeCell ref="X25:AA25"/>
    <mergeCell ref="D25:E25"/>
    <mergeCell ref="F25:G25"/>
    <mergeCell ref="H25:I25"/>
    <mergeCell ref="J25:K25"/>
    <mergeCell ref="L25:M25"/>
    <mergeCell ref="N26:O26"/>
    <mergeCell ref="P26:Q26"/>
    <mergeCell ref="R26:S26"/>
    <mergeCell ref="T26:U26"/>
    <mergeCell ref="V26:W26"/>
    <mergeCell ref="X26:AA26"/>
    <mergeCell ref="D26:E26"/>
    <mergeCell ref="F26:G26"/>
    <mergeCell ref="H26:I26"/>
    <mergeCell ref="J26:K26"/>
    <mergeCell ref="L26:M26"/>
    <mergeCell ref="N27:O27"/>
    <mergeCell ref="P27:Q27"/>
    <mergeCell ref="R27:S27"/>
    <mergeCell ref="T27:U27"/>
    <mergeCell ref="V27:W27"/>
    <mergeCell ref="X27:AA27"/>
    <mergeCell ref="D27:E27"/>
    <mergeCell ref="F27:G27"/>
    <mergeCell ref="H27:I27"/>
    <mergeCell ref="J27:K27"/>
    <mergeCell ref="L27:M27"/>
    <mergeCell ref="N28:O28"/>
    <mergeCell ref="P28:Q28"/>
    <mergeCell ref="R28:S28"/>
    <mergeCell ref="T28:U28"/>
    <mergeCell ref="V28:W28"/>
    <mergeCell ref="X28:AA28"/>
    <mergeCell ref="D28:E28"/>
    <mergeCell ref="F28:G28"/>
    <mergeCell ref="H28:I28"/>
    <mergeCell ref="J28:K28"/>
    <mergeCell ref="L28:M28"/>
    <mergeCell ref="N29:O29"/>
    <mergeCell ref="P29:Q29"/>
    <mergeCell ref="R29:S29"/>
    <mergeCell ref="T29:U29"/>
    <mergeCell ref="V29:W29"/>
    <mergeCell ref="X29:AA29"/>
    <mergeCell ref="D29:E29"/>
    <mergeCell ref="F29:G29"/>
    <mergeCell ref="H29:I29"/>
    <mergeCell ref="J29:K29"/>
    <mergeCell ref="L29:M29"/>
    <mergeCell ref="N30:O30"/>
    <mergeCell ref="P30:Q30"/>
    <mergeCell ref="R30:S30"/>
    <mergeCell ref="T30:U30"/>
    <mergeCell ref="V30:W30"/>
    <mergeCell ref="X30:AA30"/>
    <mergeCell ref="D30:E30"/>
    <mergeCell ref="F30:G30"/>
    <mergeCell ref="H30:I30"/>
    <mergeCell ref="J30:K30"/>
    <mergeCell ref="L30:M30"/>
    <mergeCell ref="N31:O31"/>
    <mergeCell ref="P31:Q31"/>
    <mergeCell ref="R31:S31"/>
    <mergeCell ref="T31:U31"/>
    <mergeCell ref="V31:W31"/>
    <mergeCell ref="X31:AA31"/>
    <mergeCell ref="D31:E31"/>
    <mergeCell ref="F31:G31"/>
    <mergeCell ref="H31:I31"/>
    <mergeCell ref="J31:K31"/>
    <mergeCell ref="L31:M31"/>
    <mergeCell ref="N32:O32"/>
    <mergeCell ref="P32:Q32"/>
    <mergeCell ref="R32:S32"/>
    <mergeCell ref="T32:U32"/>
    <mergeCell ref="V32:W32"/>
    <mergeCell ref="X32:AA32"/>
    <mergeCell ref="D32:E32"/>
    <mergeCell ref="F32:G32"/>
    <mergeCell ref="H32:I32"/>
    <mergeCell ref="J32:K32"/>
    <mergeCell ref="L32:M32"/>
    <mergeCell ref="N33:O33"/>
    <mergeCell ref="P33:Q33"/>
    <mergeCell ref="R33:S33"/>
    <mergeCell ref="T33:U33"/>
    <mergeCell ref="V33:W33"/>
    <mergeCell ref="X33:AA33"/>
    <mergeCell ref="D33:E33"/>
    <mergeCell ref="F33:G33"/>
    <mergeCell ref="H33:I33"/>
    <mergeCell ref="J33:K33"/>
    <mergeCell ref="L33:M33"/>
    <mergeCell ref="N34:O34"/>
    <mergeCell ref="P34:Q34"/>
    <mergeCell ref="R34:S34"/>
    <mergeCell ref="T34:U34"/>
    <mergeCell ref="V34:W34"/>
    <mergeCell ref="X34:AA34"/>
    <mergeCell ref="D34:E34"/>
    <mergeCell ref="F34:G34"/>
    <mergeCell ref="H34:I34"/>
    <mergeCell ref="J34:K34"/>
    <mergeCell ref="L34:M34"/>
    <mergeCell ref="J36:K36"/>
    <mergeCell ref="L36:M36"/>
    <mergeCell ref="N35:O35"/>
    <mergeCell ref="P35:Q35"/>
    <mergeCell ref="R35:S35"/>
    <mergeCell ref="T35:U35"/>
    <mergeCell ref="V35:W35"/>
    <mergeCell ref="X35:AA35"/>
    <mergeCell ref="D35:E35"/>
    <mergeCell ref="F35:G35"/>
    <mergeCell ref="H35:I35"/>
    <mergeCell ref="J35:K35"/>
    <mergeCell ref="L35:M35"/>
    <mergeCell ref="A7:G7"/>
    <mergeCell ref="H7:O7"/>
    <mergeCell ref="A5:G5"/>
    <mergeCell ref="H5:AA5"/>
    <mergeCell ref="N37:O37"/>
    <mergeCell ref="P37:Q37"/>
    <mergeCell ref="R37:S37"/>
    <mergeCell ref="T37:U37"/>
    <mergeCell ref="V37:W37"/>
    <mergeCell ref="X37:AA37"/>
    <mergeCell ref="D37:E37"/>
    <mergeCell ref="F37:G37"/>
    <mergeCell ref="H37:I37"/>
    <mergeCell ref="J37:K37"/>
    <mergeCell ref="L37:M37"/>
    <mergeCell ref="N36:O36"/>
    <mergeCell ref="P36:Q36"/>
    <mergeCell ref="R36:S36"/>
    <mergeCell ref="T36:U36"/>
    <mergeCell ref="V36:W36"/>
    <mergeCell ref="X36:AA36"/>
    <mergeCell ref="D36:E36"/>
    <mergeCell ref="F36:G36"/>
    <mergeCell ref="H36:I36"/>
  </mergeCells>
  <dataValidations count="1">
    <dataValidation type="list" allowBlank="1" showInputMessage="1" showErrorMessage="1" sqref="P7" xr:uid="{72A58F71-BBA0-4B97-B1F9-EBD5E3929C29}">
      <formula1>$AJ$1:$AJ$4</formula1>
    </dataValidation>
  </dataValidations>
  <printOptions horizontalCentered="1"/>
  <pageMargins left="0.19685039370078741" right="0.19685039370078741" top="0.19685039370078741" bottom="0.59055118110236227" header="0.31496062992125984" footer="0.39370078740157483"/>
  <pageSetup scale="98" orientation="landscape" r:id="rId1"/>
  <headerFooter>
    <oddFooter>&amp;R&amp;"Arial Narrow,Normal"&amp;9Página: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14</vt:i4>
      </vt:variant>
    </vt:vector>
  </HeadingPairs>
  <TitlesOfParts>
    <vt:vector size="22" baseType="lpstr">
      <vt:lpstr>Instrucciones</vt:lpstr>
      <vt:lpstr>Registro</vt:lpstr>
      <vt:lpstr>Ducha</vt:lpstr>
      <vt:lpstr>Extintores</vt:lpstr>
      <vt:lpstr>Botiquín</vt:lpstr>
      <vt:lpstr>Kit derrames</vt:lpstr>
      <vt:lpstr>Kit derrames hidrocarburos</vt:lpstr>
      <vt:lpstr>Kit derrames mercurio</vt:lpstr>
      <vt:lpstr>Botiquín!Área_de_impresión</vt:lpstr>
      <vt:lpstr>Ducha!Área_de_impresión</vt:lpstr>
      <vt:lpstr>Extintores!Área_de_impresión</vt:lpstr>
      <vt:lpstr>Instrucciones!Área_de_impresión</vt:lpstr>
      <vt:lpstr>'Kit derrames'!Área_de_impresión</vt:lpstr>
      <vt:lpstr>'Kit derrames hidrocarburos'!Área_de_impresión</vt:lpstr>
      <vt:lpstr>'Kit derrames mercurio'!Área_de_impresión</vt:lpstr>
      <vt:lpstr>Registro!Área_de_impresión</vt:lpstr>
      <vt:lpstr>Botiquín!Títulos_a_imprimir</vt:lpstr>
      <vt:lpstr>Ducha!Títulos_a_imprimir</vt:lpstr>
      <vt:lpstr>Extintores!Títulos_a_imprimir</vt:lpstr>
      <vt:lpstr>'Kit derrames'!Títulos_a_imprimir</vt:lpstr>
      <vt:lpstr>'Kit derrames hidrocarburos'!Títulos_a_imprimir</vt:lpstr>
      <vt:lpstr>'Kit derrames mercurio'!Títulos_a_imprimir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Restrepo Ruiz</dc:creator>
  <cp:lastModifiedBy>usuario</cp:lastModifiedBy>
  <cp:lastPrinted>2024-05-07T19:35:25Z</cp:lastPrinted>
  <dcterms:created xsi:type="dcterms:W3CDTF">2011-03-09T11:54:19Z</dcterms:created>
  <dcterms:modified xsi:type="dcterms:W3CDTF">2024-05-22T20:18:10Z</dcterms:modified>
</cp:coreProperties>
</file>